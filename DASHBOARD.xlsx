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dan\Downloads\דשבורד סטטוס\"/>
    </mc:Choice>
  </mc:AlternateContent>
  <xr:revisionPtr revIDLastSave="0" documentId="13_ncr:1_{B861FE72-5F87-467E-8C3F-E720649EBC1D}" xr6:coauthVersionLast="47" xr6:coauthVersionMax="47" xr10:uidLastSave="{00000000-0000-0000-0000-000000000000}"/>
  <bookViews>
    <workbookView xWindow="-100" yWindow="-100" windowWidth="21467" windowHeight="11443" xr2:uid="{00000000-000D-0000-FFFF-FFFF00000000}"/>
  </bookViews>
  <sheets>
    <sheet name="Sheet1" sheetId="1" r:id="rId1"/>
  </sheets>
  <definedNames>
    <definedName name="_xlnm._FilterDatabase" localSheetId="0" hidden="1">Sheet1!$A$1:$AA$90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98" i="1" l="1" a="1"/>
  <c r="Z98" i="1" s="1"/>
  <c r="AA98" i="1" s="1"/>
  <c r="Z99" i="1" a="1"/>
  <c r="Z99" i="1" s="1"/>
  <c r="AA99" i="1" s="1"/>
  <c r="Z91" i="1" a="1"/>
  <c r="Z91" i="1" s="1"/>
  <c r="AA91" i="1" s="1"/>
  <c r="Z92" i="1" a="1"/>
  <c r="Z92" i="1" s="1"/>
  <c r="AA92" i="1" s="1"/>
  <c r="Z93" i="1" a="1"/>
  <c r="Z93" i="1" s="1"/>
  <c r="AA93" i="1" s="1"/>
  <c r="Z94" i="1" a="1"/>
  <c r="Z94" i="1" s="1"/>
  <c r="AA94" i="1" s="1"/>
  <c r="Z95" i="1" a="1"/>
  <c r="Z95" i="1" s="1"/>
  <c r="AA95" i="1" s="1"/>
  <c r="Z96" i="1" a="1"/>
  <c r="Z96" i="1" s="1"/>
  <c r="AA96" i="1" s="1"/>
  <c r="Z97" i="1" a="1"/>
  <c r="Z97" i="1" s="1"/>
  <c r="AA97" i="1" s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Z26" i="1" a="1"/>
  <c r="Z26" i="1" s="1"/>
  <c r="Z27" i="1" a="1"/>
  <c r="Z27" i="1" s="1"/>
  <c r="Z28" i="1" a="1"/>
  <c r="Z28" i="1" s="1"/>
  <c r="Z29" i="1" a="1"/>
  <c r="Z29" i="1" s="1"/>
  <c r="Z30" i="1" a="1"/>
  <c r="Z30" i="1" s="1"/>
  <c r="Z31" i="1" a="1"/>
  <c r="Z31" i="1"/>
  <c r="Z32" i="1" a="1"/>
  <c r="Z32" i="1" s="1"/>
  <c r="Z33" i="1" a="1"/>
  <c r="Z33" i="1" s="1"/>
  <c r="Z34" i="1" a="1"/>
  <c r="Z34" i="1" s="1"/>
  <c r="Z35" i="1" a="1"/>
  <c r="Z35" i="1" s="1"/>
  <c r="Z36" i="1" a="1"/>
  <c r="Z36" i="1" s="1"/>
  <c r="Z37" i="1" a="1"/>
  <c r="Z37" i="1"/>
  <c r="Z38" i="1" a="1"/>
  <c r="Z38" i="1" s="1"/>
  <c r="AA38" i="1" s="1"/>
  <c r="Z39" i="1" a="1"/>
  <c r="Z39" i="1" s="1"/>
  <c r="AA39" i="1" s="1"/>
  <c r="Z40" i="1" a="1"/>
  <c r="Z40" i="1" s="1"/>
  <c r="Z41" i="1" a="1"/>
  <c r="Z41" i="1" s="1"/>
  <c r="Z42" i="1" a="1"/>
  <c r="Z42" i="1" s="1"/>
  <c r="Z43" i="1" a="1"/>
  <c r="Z43" i="1"/>
  <c r="Z44" i="1" a="1"/>
  <c r="Z44" i="1" s="1"/>
  <c r="Z45" i="1" a="1"/>
  <c r="Z45" i="1" s="1"/>
  <c r="Z46" i="1" a="1"/>
  <c r="Z46" i="1" s="1"/>
  <c r="Z47" i="1" a="1"/>
  <c r="Z47" i="1" s="1"/>
  <c r="Z48" i="1" a="1"/>
  <c r="Z48" i="1" s="1"/>
  <c r="Z49" i="1" a="1"/>
  <c r="Z49" i="1"/>
  <c r="Z50" i="1" a="1"/>
  <c r="Z50" i="1" s="1"/>
  <c r="Z51" i="1" a="1"/>
  <c r="Z51" i="1" s="1"/>
  <c r="Z52" i="1" a="1"/>
  <c r="Z52" i="1" s="1"/>
  <c r="Z53" i="1" a="1"/>
  <c r="Z53" i="1" s="1"/>
  <c r="Z54" i="1" a="1"/>
  <c r="Z54" i="1" s="1"/>
  <c r="Z55" i="1" a="1"/>
  <c r="Z55" i="1"/>
  <c r="Z56" i="1" a="1"/>
  <c r="Z56" i="1" s="1"/>
  <c r="Z57" i="1" a="1"/>
  <c r="Z57" i="1" s="1"/>
  <c r="Z58" i="1" a="1"/>
  <c r="Z58" i="1" s="1"/>
  <c r="Z59" i="1" a="1"/>
  <c r="Z59" i="1" s="1"/>
  <c r="Z60" i="1" a="1"/>
  <c r="Z60" i="1" s="1"/>
  <c r="Z61" i="1" a="1"/>
  <c r="Z61" i="1"/>
  <c r="Z62" i="1" a="1"/>
  <c r="Z62" i="1" s="1"/>
  <c r="Z63" i="1" a="1"/>
  <c r="Z63" i="1" s="1"/>
  <c r="Z64" i="1" a="1"/>
  <c r="Z64" i="1" s="1"/>
  <c r="Z65" i="1" a="1"/>
  <c r="Z65" i="1" s="1"/>
  <c r="Z66" i="1" a="1"/>
  <c r="Z66" i="1" s="1"/>
  <c r="Z67" i="1" a="1"/>
  <c r="Z67" i="1"/>
  <c r="Z68" i="1" a="1"/>
  <c r="Z68" i="1" s="1"/>
  <c r="Z69" i="1" a="1"/>
  <c r="Z69" i="1" s="1"/>
  <c r="Z70" i="1" a="1"/>
  <c r="Z70" i="1" s="1"/>
  <c r="Z71" i="1" a="1"/>
  <c r="Z71" i="1" s="1"/>
  <c r="Z72" i="1" a="1"/>
  <c r="Z72" i="1" s="1"/>
  <c r="Z73" i="1" a="1"/>
  <c r="Z73" i="1"/>
  <c r="Z74" i="1" a="1"/>
  <c r="Z74" i="1" s="1"/>
  <c r="Z75" i="1" a="1"/>
  <c r="Z75" i="1" s="1"/>
  <c r="Z76" i="1" a="1"/>
  <c r="Z76" i="1" s="1"/>
  <c r="Z77" i="1" a="1"/>
  <c r="Z77" i="1" s="1"/>
  <c r="Z78" i="1" a="1"/>
  <c r="Z78" i="1" s="1"/>
  <c r="Z79" i="1" a="1"/>
  <c r="Z79" i="1"/>
  <c r="Z80" i="1" a="1"/>
  <c r="Z80" i="1" s="1"/>
  <c r="Z81" i="1" a="1"/>
  <c r="Z81" i="1" s="1"/>
  <c r="Z82" i="1" a="1"/>
  <c r="Z82" i="1" s="1"/>
  <c r="Z83" i="1" a="1"/>
  <c r="Z83" i="1" s="1"/>
  <c r="Z84" i="1" a="1"/>
  <c r="Z84" i="1" s="1"/>
  <c r="Z85" i="1" a="1"/>
  <c r="Z85" i="1"/>
  <c r="Z86" i="1" a="1"/>
  <c r="Z86" i="1" s="1"/>
  <c r="Z87" i="1" a="1"/>
  <c r="Z87" i="1" s="1"/>
  <c r="Z88" i="1" a="1"/>
  <c r="Z88" i="1" s="1"/>
  <c r="Z89" i="1" a="1"/>
  <c r="Z89" i="1" s="1"/>
  <c r="Z90" i="1" a="1"/>
  <c r="Z9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<sst xmlns="http://schemas.openxmlformats.org/spreadsheetml/2006/main" count="583" uniqueCount="147">
  <si>
    <t>Employee</t>
  </si>
  <si>
    <t>Program</t>
  </si>
  <si>
    <t>Authority</t>
  </si>
  <si>
    <t>Manager</t>
  </si>
  <si>
    <t>School</t>
  </si>
  <si>
    <t>Day</t>
  </si>
  <si>
    <t>StartTime</t>
  </si>
  <si>
    <t>EndTime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</si>
  <si>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</si>
  <si>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</si>
  <si>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</si>
  <si>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</si>
  <si>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</si>
  <si>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</si>
  <si>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</si>
  <si>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</si>
  <si>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Date9</t>
  </si>
  <si>
    <t>Date10</t>
  </si>
  <si>
    <t>Date11</t>
  </si>
  <si>
    <t>Date12</t>
  </si>
  <si>
    <t>Date13</t>
  </si>
  <si>
    <t>Date14</t>
  </si>
  <si>
    <t>Date15</t>
  </si>
  <si>
    <t>Date16</t>
  </si>
  <si>
    <t>פורים</t>
  </si>
  <si>
    <t>פסח</t>
  </si>
  <si>
    <t>ערב יום הזיכרון</t>
  </si>
  <si>
    <t>יום הזיכרון</t>
  </si>
  <si>
    <t>יום העצמאות</t>
  </si>
  <si>
    <t>ל״ג בעומר</t>
  </si>
  <si>
    <t>שבועות</t>
  </si>
  <si>
    <t>הנאא אבו אמזה</t>
  </si>
  <si>
    <t>ביומימיקרי</t>
  </si>
  <si>
    <t>ג'דיידה מכר</t>
  </si>
  <si>
    <t>גיל נאמן</t>
  </si>
  <si>
    <t>ג'דיידה יסודי</t>
  </si>
  <si>
    <t>חמישי</t>
  </si>
  <si>
    <t>יונתן יהונתן פתייה</t>
  </si>
  <si>
    <t>ירושלים</t>
  </si>
  <si>
    <t>ביכורים</t>
  </si>
  <si>
    <t>רביעי</t>
  </si>
  <si>
    <t>אסיל ג'בר</t>
  </si>
  <si>
    <t>מנהיגות ירוקה</t>
  </si>
  <si>
    <t>מטה יהודה</t>
  </si>
  <si>
    <t>יסודי עין נקובא-ראפה</t>
  </si>
  <si>
    <t>שלישי</t>
  </si>
  <si>
    <t>נווה שלום</t>
  </si>
  <si>
    <t>בינה מלאכותית</t>
  </si>
  <si>
    <t>עכו</t>
  </si>
  <si>
    <t>גורדון</t>
  </si>
  <si>
    <t>שני</t>
  </si>
  <si>
    <t>עמק הירדן - אשדות יעקב</t>
  </si>
  <si>
    <t>מול גלעד</t>
  </si>
  <si>
    <t>ביומימיקרי לחטיבה</t>
  </si>
  <si>
    <t>עמק הירדן - גינוסר</t>
  </si>
  <si>
    <t>נופי ארבל</t>
  </si>
  <si>
    <t>עמק הירדן - כנרת</t>
  </si>
  <si>
    <t>עמק הירדן - כנרת (ע"ש נעמי שמר)</t>
  </si>
  <si>
    <t>טכנולוגיות החלל</t>
  </si>
  <si>
    <t>קריית טבעון</t>
  </si>
  <si>
    <t>כפר הנוער רמת הדסה</t>
  </si>
  <si>
    <t>ברקת קטעי</t>
  </si>
  <si>
    <t>קריית שמונה</t>
  </si>
  <si>
    <t>עוזיאל</t>
  </si>
  <si>
    <t>אלכס זפקה</t>
  </si>
  <si>
    <t>יבנה</t>
  </si>
  <si>
    <t>לינוי שמואל מזרחי</t>
  </si>
  <si>
    <t>פרדס צפוני</t>
  </si>
  <si>
    <t>ראשון</t>
  </si>
  <si>
    <t>עליזה מולה</t>
  </si>
  <si>
    <t>רוקחים עולם</t>
  </si>
  <si>
    <t>יד בנימין</t>
  </si>
  <si>
    <t>ליאל בן חמו</t>
  </si>
  <si>
    <t>מ.א חוף אשקלון</t>
  </si>
  <si>
    <t>ניצני קטיף</t>
  </si>
  <si>
    <t>שישי</t>
  </si>
  <si>
    <t>אפרת אוחיון</t>
  </si>
  <si>
    <t>שדות סילבר</t>
  </si>
  <si>
    <t>פורצות דרך</t>
  </si>
  <si>
    <t>מודיעין</t>
  </si>
  <si>
    <t>תיכון ב'</t>
  </si>
  <si>
    <t>אלדר מיכאל טייב</t>
  </si>
  <si>
    <t>שפיר</t>
  </si>
  <si>
    <t>אבן שמואל</t>
  </si>
  <si>
    <t>בי"ס שפיר</t>
  </si>
  <si>
    <t>אשקלון</t>
  </si>
  <si>
    <t>בי"ס אילנות</t>
  </si>
  <si>
    <t>בראשית</t>
  </si>
  <si>
    <t>באר שבע</t>
  </si>
  <si>
    <t>התומר</t>
  </si>
  <si>
    <t>שדרות</t>
  </si>
  <si>
    <t>שקמים</t>
  </si>
  <si>
    <t>אשדוד</t>
  </si>
  <si>
    <t>מקיף ה'</t>
  </si>
  <si>
    <t>נבון</t>
  </si>
  <si>
    <t>הילה רוזן</t>
  </si>
  <si>
    <t>רמלה</t>
  </si>
  <si>
    <t>יצחק שמיר</t>
  </si>
  <si>
    <t>תמר שפיר</t>
  </si>
  <si>
    <t>אשכול</t>
  </si>
  <si>
    <t>מרחבי אשכול</t>
  </si>
  <si>
    <t>נס ציונה</t>
  </si>
  <si>
    <t>בן גוריון</t>
  </si>
  <si>
    <t>אילנה טיטייבסקי</t>
  </si>
  <si>
    <t>נהריה</t>
  </si>
  <si>
    <t>גולדה</t>
  </si>
  <si>
    <t>כרמית סמנדרוב</t>
  </si>
  <si>
    <t>ראשון לציון</t>
  </si>
  <si>
    <t>תיכון המעיין</t>
  </si>
  <si>
    <t>השמיים אינם הגבול</t>
  </si>
  <si>
    <t>מקיף ט'</t>
  </si>
  <si>
    <t>מיכל שכטמן</t>
  </si>
  <si>
    <t>אלון</t>
  </si>
  <si>
    <t>מתיתיהו</t>
  </si>
  <si>
    <t>באר יעקב</t>
  </si>
  <si>
    <t>צאלון</t>
  </si>
  <si>
    <t>ירכא</t>
  </si>
  <si>
    <t>אל-אמין</t>
  </si>
  <si>
    <t>כסרא סמיע</t>
  </si>
  <si>
    <t>אלרואיא</t>
  </si>
  <si>
    <t>עין-קיניה</t>
  </si>
  <si>
    <t>ג'וליס</t>
  </si>
  <si>
    <t>בוקעתא</t>
  </si>
  <si>
    <t>מסעדה</t>
  </si>
  <si>
    <t>ראנה סאלח</t>
  </si>
  <si>
    <t>מג'דל שמס</t>
  </si>
  <si>
    <t>רחובות</t>
  </si>
  <si>
    <t>קציר</t>
  </si>
  <si>
    <t>סוהא סאלם</t>
  </si>
  <si>
    <t>דלית אל-כרמל</t>
  </si>
  <si>
    <t>אלאשראק</t>
  </si>
  <si>
    <t>קרן גורביץ</t>
  </si>
  <si>
    <t>מייקרים</t>
  </si>
  <si>
    <t>בנימינה</t>
  </si>
  <si>
    <t>מתנ"ס</t>
  </si>
  <si>
    <t>אביב בלנדר</t>
  </si>
  <si>
    <t>תלמידים להייטק</t>
  </si>
  <si>
    <t>EventType</t>
  </si>
  <si>
    <t>HOLIDAY</t>
  </si>
  <si>
    <t>COURSE</t>
  </si>
  <si>
    <t>End</t>
  </si>
  <si>
    <t>MonthEnd</t>
  </si>
  <si>
    <t>המגינים</t>
  </si>
  <si>
    <t>תל-חי</t>
  </si>
  <si>
    <t>רמב"ם</t>
  </si>
  <si>
    <t>אוסם</t>
  </si>
  <si>
    <t>פרימיום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</si>
</sst>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[$-1000000]h:mm;@"/>
    <numFmt numFmtId="165" formatCode="yyyy\-mm\-dd"/>
    <numFmt numFmtId="169" formatCode="_ * #,##0.00_ ;_ * \-#,##0.00_ ;_ * &quot;-&quot;??_ ;_ @_ "/>
  </numFmts>
  <fonts count="9">
    <font>
      <sz val="11"/>
      <color theme="1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charset val="177"/>
      <scheme val="minor"/>
    </font>
    <font>
      <b/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9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">
    <xf numFmtId="0" fontId="0" fillId="0" borderId="0"/>
    <xf numFmtId="43" fontId="6" fillId="0" borderId="0"/>
    <xf numFmtId="0" fontId="2" fillId="0" borderId="0"/>
    <xf numFmtId="0" fontId="2" fillId="0" borderId="0"/>
    <xf numFmtId="43" fontId="2" fillId="0" borderId="0"/>
    <xf numFmtId="43" fontId="6" fillId="0" borderId="0"/>
    <xf numFmtId="0" fontId="7" fillId="0" borderId="0"/>
    <xf numFmtId="43" fontId="6" fillId="0" borderId="0"/>
    <xf numFmtId="169" fontId="6" fillId="0" borderId="0" applyFont="0" applyFill="0" applyBorder="0" applyAlignment="0" applyProtection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7" fillId="0" borderId="0" applyNumberFormat="0" applyFill="0" applyBorder="0" applyAlignment="0" applyProtection="0"/>
    <xf numFmtId="169" fontId="6" fillId="0" borderId="0" applyFont="0" applyFill="0" applyBorder="0" applyAlignment="0" applyProtection="0"/>
  </cellStyleXfs>
  <cellXfs count="16">
    <xf numFmtId="0" fontId="0" fillId="0" borderId="0" xfId="0"/>
    <xf numFmtId="0" fontId="4" fillId="2" borderId="0" xfId="0" applyFont="1" applyFill="1"/>
    <xf numFmtId="0" fontId="0" fillId="0" borderId="0" xfId="0"/>
    <xf numFmtId="164" fontId="0" fillId="0" borderId="0" xfId="0" applyNumberFormat="1" applyAlignment="1">
      <alignment horizontal="center"/>
    </xf>
    <xf numFmtId="14" fontId="5" fillId="2" borderId="1" xfId="0" applyNumberFormat="1" applyFont="1" applyFill="1" applyBorder="1"/>
    <xf numFmtId="0" fontId="5" fillId="2" borderId="0" xfId="0" applyFont="1" applyFill="1"/>
    <xf numFmtId="20" fontId="3" fillId="0" borderId="1" xfId="0" applyNumberFormat="1" applyFont="1" applyBorder="1" applyAlignment="1">
      <alignment horizontal="center"/>
    </xf>
    <xf numFmtId="165" fontId="5" fillId="2" borderId="1" xfId="0" applyNumberFormat="1" applyFont="1" applyFill="1" applyBorder="1"/>
    <xf numFmtId="0" fontId="4" fillId="2" borderId="1" xfId="0" applyFont="1" applyFill="1" applyBorder="1"/>
    <xf numFmtId="0" fontId="8" fillId="0" borderId="1" xfId="0" applyFont="1" applyBorder="1"/>
    <xf numFmtId="165" fontId="4" fillId="2" borderId="1" xfId="0" applyNumberFormat="1" applyFont="1" applyFill="1" applyBorder="1"/>
    <xf numFmtId="20" fontId="4" fillId="2" borderId="1" xfId="0" applyNumberFormat="1" applyFont="1" applyFill="1" applyBorder="1" applyAlignment="1">
      <alignment horizontal="center"/>
    </xf>
    <xf numFmtId="0" fontId="5" fillId="2" borderId="1" xfId="0" applyFont="1" applyFill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</cellXfs>
  <cellStyles count="15">
    <cellStyle name="Comma 2" xfId="7" xr:uid="{00000000-0005-0000-0000-000007000000}"/>
    <cellStyle name="Comma 2 2" xfId="14" xr:uid="{A697A9F4-2CB9-43FF-B677-30B8BEC4C915}"/>
    <cellStyle name="Comma 2 4" xfId="4" xr:uid="{00000000-0005-0000-0000-000004000000}"/>
    <cellStyle name="Comma 2 4 2" xfId="11" xr:uid="{64A73DA3-9DF7-4565-A135-E8353E2DE5DF}"/>
    <cellStyle name="Comma 3" xfId="5" xr:uid="{00000000-0005-0000-0000-000005000000}"/>
    <cellStyle name="Comma 3 2" xfId="12" xr:uid="{766E5B9F-6C7D-4208-B7B2-378EA145CC33}"/>
    <cellStyle name="Comma 4" xfId="1" xr:uid="{00000000-0005-0000-0000-000001000000}"/>
    <cellStyle name="Comma 5" xfId="8" xr:uid="{299B8A52-EE0C-4B62-81B9-7AF43A821838}"/>
    <cellStyle name="Hyperlink" xfId="6" xr:uid="{00000000-0005-0000-0000-000006000000}"/>
    <cellStyle name="Hyperlink 2" xfId="13" xr:uid="{D5AAC47D-58DB-4575-890F-32EF730B57A3}"/>
    <cellStyle name="Normal" xfId="0" builtinId="0"/>
    <cellStyle name="Normal 2 3 2" xfId="3" xr:uid="{00000000-0005-0000-0000-000003000000}"/>
    <cellStyle name="Normal 2 3 2 2" xfId="10" xr:uid="{1852CCB3-53E8-4FE1-A3AD-60A2F4C5858B}"/>
    <cellStyle name="Normal 2 4" xfId="2" xr:uid="{00000000-0005-0000-0000-000002000000}"/>
    <cellStyle name="Normal 2 4 2" xfId="9" xr:uid="{AEA81B4F-4F2A-447B-9173-661AA1EA84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51"/>
  <sheetViews>
    <sheetView rightToLeft="1" tabSelected="1" topLeftCell="A84" zoomScale="80" zoomScaleNormal="80" workbookViewId="0">
      <selection activeCell="C26" sqref="C26:C99"/>
    </sheetView>
  </sheetViews>
  <sheetFormatPr defaultRowHeight="25.1" customHeight="1"/>
  <cols>
    <col min="1" max="1" width="10.1796875" style="2" bestFit="1" customWidth="1"/>
    <col min="2" max="2" width="12" style="2" bestFit="1" customWidth="1"/>
    <col min="3" max="3" width="12" style="2" customWidth="1"/>
    <col min="4" max="4" width="8.7265625" style="2" customWidth="1"/>
    <col min="5" max="5" width="9.1796875" style="2" bestFit="1" customWidth="1"/>
    <col min="6" max="6" width="9.1796875" style="2" customWidth="1"/>
    <col min="7" max="7" width="8.7265625" style="2" customWidth="1"/>
    <col min="8" max="9" width="8.7265625" style="3" customWidth="1"/>
    <col min="10" max="28" width="8.7265625" style="2" customWidth="1"/>
    <col min="29" max="16384" width="8.7265625" style="2"/>
  </cols>
  <sheetData>
    <row r="1" spans="1:27" s="1" customFormat="1" ht="25.1" customHeight="1">
      <c r="A1" s="14" t="s">
        <v>0</v>
      </c>
      <c r="B1" s="14" t="s">
        <v>1</v>
      </c>
      <c r="C1" s="14" t="s">
        <v>137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L1" s="14" t="s">
        <v>10</v>
      </c>
      <c r="M1" s="14" t="s">
        <v>11</v>
      </c>
      <c r="N1" s="14" t="s">
        <v>12</v>
      </c>
      <c r="O1" s="14" t="s">
        <v>13</v>
      </c>
      <c r="P1" s="14" t="s">
        <v>14</v>
      </c>
      <c r="Q1" s="14" t="s">
        <v>15</v>
      </c>
      <c r="R1" s="14" t="s">
        <v>16</v>
      </c>
      <c r="S1" s="14" t="s">
        <v>17</v>
      </c>
      <c r="T1" s="14" t="s">
        <v>18</v>
      </c>
      <c r="U1" s="14" t="s">
        <v>19</v>
      </c>
      <c r="V1" s="14" t="s">
        <v>20</v>
      </c>
      <c r="W1" s="14" t="s">
        <v>21</v>
      </c>
      <c r="X1" s="14" t="s">
        <v>22</v>
      </c>
      <c r="Y1" s="14" t="s">
        <v>23</v>
      </c>
      <c r="Z1" s="8" t="s">
        <v>140</v>
      </c>
      <c r="AA1" s="8" t="s">
        <v>141</v>
      </c>
    </row>
    <row r="2" spans="1:27" s="1" customFormat="1" ht="25.1" customHeight="1">
      <c r="A2" s="14"/>
      <c r="B2" s="8" t="s">
        <v>24</v>
      </c>
      <c r="C2" s="9" t="s">
        <v>138</v>
      </c>
      <c r="D2" s="14"/>
      <c r="E2" s="14"/>
      <c r="F2" s="14"/>
      <c r="G2" s="14"/>
      <c r="H2" s="6"/>
      <c r="I2" s="6"/>
      <c r="J2" s="10">
        <v>46084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0"/>
      <c r="AA2" s="8"/>
    </row>
    <row r="3" spans="1:27" s="1" customFormat="1" ht="25.1" customHeight="1">
      <c r="A3" s="14"/>
      <c r="B3" s="8" t="s">
        <v>24</v>
      </c>
      <c r="C3" s="9" t="s">
        <v>138</v>
      </c>
      <c r="D3" s="14"/>
      <c r="E3" s="14"/>
      <c r="F3" s="14"/>
      <c r="G3" s="14"/>
      <c r="H3" s="6"/>
      <c r="I3" s="6"/>
      <c r="J3" s="10">
        <v>46085</v>
      </c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0"/>
      <c r="AA3" s="8"/>
    </row>
    <row r="4" spans="1:27" s="1" customFormat="1" ht="25.1" customHeight="1">
      <c r="A4" s="14"/>
      <c r="B4" s="8" t="s">
        <v>25</v>
      </c>
      <c r="C4" s="9" t="s">
        <v>138</v>
      </c>
      <c r="D4" s="14"/>
      <c r="E4" s="14"/>
      <c r="F4" s="14"/>
      <c r="G4" s="14"/>
      <c r="H4" s="6"/>
      <c r="I4" s="6"/>
      <c r="J4" s="10">
        <v>46105</v>
      </c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0"/>
      <c r="AA4" s="8"/>
    </row>
    <row r="5" spans="1:27" s="1" customFormat="1" ht="25.1" customHeight="1">
      <c r="A5" s="14"/>
      <c r="B5" s="8" t="s">
        <v>25</v>
      </c>
      <c r="C5" s="9" t="s">
        <v>138</v>
      </c>
      <c r="D5" s="14"/>
      <c r="E5" s="14"/>
      <c r="F5" s="14"/>
      <c r="G5" s="14"/>
      <c r="H5" s="6"/>
      <c r="I5" s="6"/>
      <c r="J5" s="10">
        <v>46106</v>
      </c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0"/>
      <c r="AA5" s="8"/>
    </row>
    <row r="6" spans="1:27" s="1" customFormat="1" ht="25.1" customHeight="1">
      <c r="A6" s="14"/>
      <c r="B6" s="8" t="s">
        <v>25</v>
      </c>
      <c r="C6" s="9" t="s">
        <v>138</v>
      </c>
      <c r="D6" s="14"/>
      <c r="E6" s="14"/>
      <c r="F6" s="14"/>
      <c r="G6" s="14"/>
      <c r="H6" s="6"/>
      <c r="I6" s="6"/>
      <c r="J6" s="10">
        <v>46107</v>
      </c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0"/>
      <c r="AA6" s="8"/>
    </row>
    <row r="7" spans="1:27" s="1" customFormat="1" ht="25.1" customHeight="1">
      <c r="A7" s="14"/>
      <c r="B7" s="8" t="s">
        <v>25</v>
      </c>
      <c r="C7" s="9" t="s">
        <v>138</v>
      </c>
      <c r="D7" s="14"/>
      <c r="E7" s="14"/>
      <c r="F7" s="14"/>
      <c r="G7" s="14"/>
      <c r="H7" s="6"/>
      <c r="I7" s="6"/>
      <c r="J7" s="10">
        <v>46108</v>
      </c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0"/>
      <c r="AA7" s="8"/>
    </row>
    <row r="8" spans="1:27" s="1" customFormat="1" ht="25.1" customHeight="1">
      <c r="A8" s="14"/>
      <c r="B8" s="8" t="s">
        <v>25</v>
      </c>
      <c r="C8" s="9" t="s">
        <v>138</v>
      </c>
      <c r="D8" s="14"/>
      <c r="E8" s="14"/>
      <c r="F8" s="14"/>
      <c r="G8" s="14"/>
      <c r="H8" s="6"/>
      <c r="I8" s="6"/>
      <c r="J8" s="10">
        <v>46109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0"/>
      <c r="AA8" s="8"/>
    </row>
    <row r="9" spans="1:27" s="1" customFormat="1" ht="25.1" customHeight="1">
      <c r="A9" s="14"/>
      <c r="B9" s="8" t="s">
        <v>25</v>
      </c>
      <c r="C9" s="9" t="s">
        <v>138</v>
      </c>
      <c r="D9" s="14"/>
      <c r="E9" s="14"/>
      <c r="F9" s="14"/>
      <c r="G9" s="14"/>
      <c r="H9" s="6"/>
      <c r="I9" s="6"/>
      <c r="J9" s="10">
        <v>46110</v>
      </c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0"/>
      <c r="AA9" s="8"/>
    </row>
    <row r="10" spans="1:27" s="1" customFormat="1" ht="25.1" customHeight="1">
      <c r="A10" s="14"/>
      <c r="B10" s="8" t="s">
        <v>25</v>
      </c>
      <c r="C10" s="9" t="s">
        <v>138</v>
      </c>
      <c r="D10" s="14"/>
      <c r="E10" s="14"/>
      <c r="F10" s="14"/>
      <c r="G10" s="14"/>
      <c r="H10" s="6"/>
      <c r="I10" s="6"/>
      <c r="J10" s="10">
        <v>46111</v>
      </c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0"/>
      <c r="AA10" s="8"/>
    </row>
    <row r="11" spans="1:27" s="1" customFormat="1" ht="25.1" customHeight="1">
      <c r="A11" s="14"/>
      <c r="B11" s="8" t="s">
        <v>25</v>
      </c>
      <c r="C11" s="9" t="s">
        <v>138</v>
      </c>
      <c r="D11" s="14"/>
      <c r="E11" s="14"/>
      <c r="F11" s="14"/>
      <c r="G11" s="14"/>
      <c r="H11" s="6"/>
      <c r="I11" s="6"/>
      <c r="J11" s="10">
        <v>46112</v>
      </c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0"/>
      <c r="AA11" s="8"/>
    </row>
    <row r="12" spans="1:27" s="1" customFormat="1" ht="25.1" customHeight="1">
      <c r="A12" s="14"/>
      <c r="B12" s="8" t="s">
        <v>25</v>
      </c>
      <c r="C12" s="9" t="s">
        <v>138</v>
      </c>
      <c r="D12" s="14"/>
      <c r="E12" s="14"/>
      <c r="F12" s="14"/>
      <c r="G12" s="14"/>
      <c r="H12" s="6"/>
      <c r="I12" s="6"/>
      <c r="J12" s="10">
        <v>46113</v>
      </c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0"/>
      <c r="AA12" s="8"/>
    </row>
    <row r="13" spans="1:27" s="1" customFormat="1" ht="25.1" customHeight="1">
      <c r="A13" s="14"/>
      <c r="B13" s="8" t="s">
        <v>25</v>
      </c>
      <c r="C13" s="9" t="s">
        <v>138</v>
      </c>
      <c r="D13" s="14"/>
      <c r="E13" s="14"/>
      <c r="F13" s="14"/>
      <c r="G13" s="14"/>
      <c r="H13" s="6"/>
      <c r="I13" s="6"/>
      <c r="J13" s="10">
        <v>46114</v>
      </c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0"/>
      <c r="AA13" s="8"/>
    </row>
    <row r="14" spans="1:27" s="1" customFormat="1" ht="25.1" customHeight="1">
      <c r="A14" s="14"/>
      <c r="B14" s="8" t="s">
        <v>25</v>
      </c>
      <c r="C14" s="9" t="s">
        <v>138</v>
      </c>
      <c r="D14" s="14"/>
      <c r="E14" s="14"/>
      <c r="F14" s="14"/>
      <c r="G14" s="14"/>
      <c r="H14" s="6"/>
      <c r="I14" s="6"/>
      <c r="J14" s="10">
        <v>46115</v>
      </c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0"/>
      <c r="AA14" s="8"/>
    </row>
    <row r="15" spans="1:27" s="1" customFormat="1" ht="25.1" customHeight="1">
      <c r="A15" s="14"/>
      <c r="B15" s="8" t="s">
        <v>25</v>
      </c>
      <c r="C15" s="9" t="s">
        <v>138</v>
      </c>
      <c r="D15" s="14"/>
      <c r="E15" s="14"/>
      <c r="F15" s="14"/>
      <c r="G15" s="14"/>
      <c r="H15" s="6"/>
      <c r="I15" s="6"/>
      <c r="J15" s="10">
        <v>46116</v>
      </c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0"/>
      <c r="AA15" s="8"/>
    </row>
    <row r="16" spans="1:27" s="1" customFormat="1" ht="25.1" customHeight="1">
      <c r="A16" s="14"/>
      <c r="B16" s="8" t="s">
        <v>25</v>
      </c>
      <c r="C16" s="9" t="s">
        <v>138</v>
      </c>
      <c r="D16" s="14"/>
      <c r="E16" s="14"/>
      <c r="F16" s="14"/>
      <c r="G16" s="14"/>
      <c r="H16" s="6"/>
      <c r="I16" s="6"/>
      <c r="J16" s="10">
        <v>46117</v>
      </c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0"/>
      <c r="AA16" s="8"/>
    </row>
    <row r="17" spans="1:27" s="1" customFormat="1" ht="25.1" customHeight="1">
      <c r="A17" s="14"/>
      <c r="B17" s="8" t="s">
        <v>25</v>
      </c>
      <c r="C17" s="9" t="s">
        <v>138</v>
      </c>
      <c r="D17" s="14"/>
      <c r="E17" s="14"/>
      <c r="F17" s="14"/>
      <c r="G17" s="14"/>
      <c r="H17" s="6"/>
      <c r="I17" s="6"/>
      <c r="J17" s="10">
        <v>46118</v>
      </c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0"/>
      <c r="AA17" s="8"/>
    </row>
    <row r="18" spans="1:27" s="1" customFormat="1" ht="25.1" customHeight="1">
      <c r="A18" s="14"/>
      <c r="B18" s="8" t="s">
        <v>25</v>
      </c>
      <c r="C18" s="9" t="s">
        <v>138</v>
      </c>
      <c r="D18" s="14"/>
      <c r="E18" s="14"/>
      <c r="F18" s="14"/>
      <c r="G18" s="14"/>
      <c r="H18" s="6"/>
      <c r="I18" s="6"/>
      <c r="J18" s="10">
        <v>46119</v>
      </c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0"/>
      <c r="AA18" s="8"/>
    </row>
    <row r="19" spans="1:27" s="1" customFormat="1" ht="25.1" customHeight="1">
      <c r="A19" s="14"/>
      <c r="B19" s="8" t="s">
        <v>25</v>
      </c>
      <c r="C19" s="9" t="s">
        <v>138</v>
      </c>
      <c r="D19" s="14"/>
      <c r="E19" s="14"/>
      <c r="F19" s="14"/>
      <c r="G19" s="14"/>
      <c r="H19" s="6"/>
      <c r="I19" s="6"/>
      <c r="J19" s="10">
        <v>46120</v>
      </c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0"/>
      <c r="AA19" s="8"/>
    </row>
    <row r="20" spans="1:27" s="1" customFormat="1" ht="25.1" customHeight="1">
      <c r="A20" s="14"/>
      <c r="B20" s="8" t="s">
        <v>26</v>
      </c>
      <c r="C20" s="9" t="s">
        <v>138</v>
      </c>
      <c r="D20" s="14"/>
      <c r="E20" s="14"/>
      <c r="F20" s="14"/>
      <c r="G20" s="14"/>
      <c r="H20" s="6"/>
      <c r="I20" s="6"/>
      <c r="J20" s="10">
        <v>46132</v>
      </c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0"/>
      <c r="AA20" s="8"/>
    </row>
    <row r="21" spans="1:27" s="1" customFormat="1" ht="25.1" customHeight="1">
      <c r="A21" s="14"/>
      <c r="B21" s="8" t="s">
        <v>27</v>
      </c>
      <c r="C21" s="9" t="s">
        <v>138</v>
      </c>
      <c r="D21" s="14"/>
      <c r="E21" s="14"/>
      <c r="F21" s="14"/>
      <c r="G21" s="14"/>
      <c r="H21" s="6"/>
      <c r="I21" s="6"/>
      <c r="J21" s="10">
        <v>46133</v>
      </c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0"/>
      <c r="AA21" s="8"/>
    </row>
    <row r="22" spans="1:27" s="1" customFormat="1" ht="25.1" customHeight="1">
      <c r="A22" s="14"/>
      <c r="B22" s="8" t="s">
        <v>28</v>
      </c>
      <c r="C22" s="9" t="s">
        <v>138</v>
      </c>
      <c r="D22" s="14"/>
      <c r="E22" s="14"/>
      <c r="F22" s="14"/>
      <c r="G22" s="14"/>
      <c r="H22" s="6"/>
      <c r="I22" s="6"/>
      <c r="J22" s="10">
        <v>46134</v>
      </c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0"/>
      <c r="AA22" s="8"/>
    </row>
    <row r="23" spans="1:27" s="1" customFormat="1" ht="25.1" customHeight="1">
      <c r="A23" s="14"/>
      <c r="B23" s="8" t="s">
        <v>29</v>
      </c>
      <c r="C23" s="9" t="s">
        <v>138</v>
      </c>
      <c r="D23" s="14"/>
      <c r="E23" s="14"/>
      <c r="F23" s="14"/>
      <c r="G23" s="14"/>
      <c r="H23" s="6"/>
      <c r="I23" s="6"/>
      <c r="J23" s="10">
        <v>46150</v>
      </c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0"/>
      <c r="AA23" s="8"/>
    </row>
    <row r="24" spans="1:27" s="1" customFormat="1" ht="25.1" customHeight="1">
      <c r="A24" s="14"/>
      <c r="B24" s="8" t="s">
        <v>30</v>
      </c>
      <c r="C24" s="9" t="s">
        <v>138</v>
      </c>
      <c r="D24" s="14"/>
      <c r="E24" s="14"/>
      <c r="F24" s="14"/>
      <c r="G24" s="14"/>
      <c r="H24" s="6"/>
      <c r="I24" s="6"/>
      <c r="J24" s="10">
        <v>46163</v>
      </c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0"/>
      <c r="AA24" s="8"/>
    </row>
    <row r="25" spans="1:27" s="1" customFormat="1" ht="25.1" customHeight="1">
      <c r="A25" s="14"/>
      <c r="B25" s="8" t="s">
        <v>30</v>
      </c>
      <c r="C25" s="9" t="s">
        <v>138</v>
      </c>
      <c r="D25" s="14"/>
      <c r="E25" s="14"/>
      <c r="F25" s="14"/>
      <c r="G25" s="14"/>
      <c r="H25" s="6"/>
      <c r="I25" s="6"/>
      <c r="J25" s="10">
        <v>46164</v>
      </c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0"/>
      <c r="AA25" s="8"/>
    </row>
    <row r="26" spans="1:27" s="5" customFormat="1" ht="25.1" customHeight="1">
      <c r="A26" s="8" t="s">
        <v>31</v>
      </c>
      <c r="B26" s="8" t="s">
        <v>32</v>
      </c>
      <c r="C26" s="15" t="s">
        <v>139</v>
      </c>
      <c r="D26" s="8" t="s">
        <v>33</v>
      </c>
      <c r="E26" s="8" t="s">
        <v>34</v>
      </c>
      <c r="F26" s="8" t="s">
        <v>35</v>
      </c>
      <c r="G26" s="8" t="s">
        <v>36</v>
      </c>
      <c r="H26" s="11">
        <v>0.36458333333333331</v>
      </c>
      <c r="I26" s="11">
        <v>0.59375</v>
      </c>
      <c r="J26" s="10">
        <v>46044</v>
      </c>
      <c r="K26" s="10">
        <v>46051</v>
      </c>
      <c r="L26" s="10">
        <v>46058</v>
      </c>
      <c r="M26" s="10">
        <v>46065</v>
      </c>
      <c r="N26" s="10">
        <v>46072</v>
      </c>
      <c r="O26" s="7">
        <v>46079</v>
      </c>
      <c r="P26" s="7">
        <v>46086</v>
      </c>
      <c r="Q26" s="7">
        <v>46093</v>
      </c>
      <c r="R26" s="7">
        <v>46100</v>
      </c>
      <c r="S26" s="7">
        <v>46121</v>
      </c>
      <c r="T26" s="4"/>
      <c r="U26" s="4"/>
      <c r="V26" s="4"/>
      <c r="W26" s="4"/>
      <c r="X26" s="4"/>
      <c r="Y26" s="4"/>
      <c r="Z26" s="10" cm="1">
        <f t="array" ref="Z26">LOOKUP(2,1/(A26:Y26&lt;&gt;""),A26:Y26)</f>
        <v>46121</v>
      </c>
      <c r="AA26" s="8" t="str">
        <f t="shared" ref="AA26:AA66" si="0">TEXT(Z26,"[$-he-IL]mmmm")</f>
        <v>אפריל</v>
      </c>
    </row>
    <row r="27" spans="1:27" s="5" customFormat="1" ht="25.1" customHeight="1">
      <c r="A27" s="8" t="s">
        <v>31</v>
      </c>
      <c r="B27" s="8" t="s">
        <v>32</v>
      </c>
      <c r="C27" s="15" t="s">
        <v>139</v>
      </c>
      <c r="D27" s="8" t="s">
        <v>33</v>
      </c>
      <c r="E27" s="8" t="s">
        <v>34</v>
      </c>
      <c r="F27" s="8" t="s">
        <v>35</v>
      </c>
      <c r="G27" s="8" t="s">
        <v>36</v>
      </c>
      <c r="H27" s="11">
        <v>0.36458333333333331</v>
      </c>
      <c r="I27" s="11">
        <v>0.59375</v>
      </c>
      <c r="J27" s="10">
        <v>46044</v>
      </c>
      <c r="K27" s="10">
        <v>46051</v>
      </c>
      <c r="L27" s="10">
        <v>46058</v>
      </c>
      <c r="M27" s="10">
        <v>46065</v>
      </c>
      <c r="N27" s="10">
        <v>46072</v>
      </c>
      <c r="O27" s="7">
        <v>46079</v>
      </c>
      <c r="P27" s="7">
        <v>46086</v>
      </c>
      <c r="Q27" s="7">
        <v>46093</v>
      </c>
      <c r="R27" s="7">
        <v>46100</v>
      </c>
      <c r="S27" s="7">
        <v>46121</v>
      </c>
      <c r="T27" s="4"/>
      <c r="U27" s="4"/>
      <c r="V27" s="4"/>
      <c r="W27" s="4"/>
      <c r="X27" s="4"/>
      <c r="Y27" s="4"/>
      <c r="Z27" s="10" cm="1">
        <f t="array" ref="Z27">LOOKUP(2,1/(A27:Y27&lt;&gt;""),A27:Y27)</f>
        <v>46121</v>
      </c>
      <c r="AA27" s="8" t="str">
        <f t="shared" si="0"/>
        <v>אפריל</v>
      </c>
    </row>
    <row r="28" spans="1:27" s="5" customFormat="1" ht="25.1" customHeight="1">
      <c r="A28" s="8" t="s">
        <v>31</v>
      </c>
      <c r="B28" s="8" t="s">
        <v>32</v>
      </c>
      <c r="C28" s="15" t="s">
        <v>139</v>
      </c>
      <c r="D28" s="8" t="s">
        <v>33</v>
      </c>
      <c r="E28" s="8" t="s">
        <v>34</v>
      </c>
      <c r="F28" s="8" t="s">
        <v>35</v>
      </c>
      <c r="G28" s="8" t="s">
        <v>36</v>
      </c>
      <c r="H28" s="11">
        <v>0.36458333333333331</v>
      </c>
      <c r="I28" s="11">
        <v>0.59375</v>
      </c>
      <c r="J28" s="10">
        <v>46044</v>
      </c>
      <c r="K28" s="10">
        <v>46051</v>
      </c>
      <c r="L28" s="10">
        <v>46058</v>
      </c>
      <c r="M28" s="10">
        <v>46065</v>
      </c>
      <c r="N28" s="10">
        <v>46072</v>
      </c>
      <c r="O28" s="7">
        <v>46079</v>
      </c>
      <c r="P28" s="7">
        <v>46086</v>
      </c>
      <c r="Q28" s="7">
        <v>46093</v>
      </c>
      <c r="R28" s="7">
        <v>46100</v>
      </c>
      <c r="S28" s="7">
        <v>46121</v>
      </c>
      <c r="T28" s="4"/>
      <c r="U28" s="4"/>
      <c r="V28" s="4"/>
      <c r="W28" s="4"/>
      <c r="X28" s="4"/>
      <c r="Y28" s="4"/>
      <c r="Z28" s="10" cm="1">
        <f t="array" ref="Z28">LOOKUP(2,1/(A28:Y28&lt;&gt;""),A28:Y28)</f>
        <v>46121</v>
      </c>
      <c r="AA28" s="8" t="str">
        <f t="shared" si="0"/>
        <v>אפריל</v>
      </c>
    </row>
    <row r="29" spans="1:27" s="5" customFormat="1" ht="25.1" customHeight="1">
      <c r="A29" s="8" t="s">
        <v>37</v>
      </c>
      <c r="B29" s="8" t="s">
        <v>32</v>
      </c>
      <c r="C29" s="15" t="s">
        <v>139</v>
      </c>
      <c r="D29" s="8" t="s">
        <v>38</v>
      </c>
      <c r="E29" s="8" t="s">
        <v>34</v>
      </c>
      <c r="F29" s="8" t="s">
        <v>39</v>
      </c>
      <c r="G29" s="8" t="s">
        <v>40</v>
      </c>
      <c r="H29" s="11">
        <v>0.57291666666666663</v>
      </c>
      <c r="I29" s="11">
        <v>0.60416666666666663</v>
      </c>
      <c r="J29" s="10">
        <v>46050</v>
      </c>
      <c r="K29" s="10">
        <v>46057</v>
      </c>
      <c r="L29" s="10">
        <v>46064</v>
      </c>
      <c r="M29" s="10">
        <v>46071</v>
      </c>
      <c r="N29" s="10">
        <v>46078</v>
      </c>
      <c r="O29" s="7">
        <v>46092</v>
      </c>
      <c r="P29" s="7">
        <v>46099</v>
      </c>
      <c r="Q29" s="7">
        <v>46127</v>
      </c>
      <c r="R29" s="7">
        <v>46141</v>
      </c>
      <c r="S29" s="7">
        <v>46148</v>
      </c>
      <c r="T29" s="4"/>
      <c r="U29" s="4"/>
      <c r="V29" s="4"/>
      <c r="W29" s="4"/>
      <c r="X29" s="4"/>
      <c r="Y29" s="4"/>
      <c r="Z29" s="10" cm="1">
        <f t="array" ref="Z29">LOOKUP(2,1/(A29:Y29&lt;&gt;""),A29:Y29)</f>
        <v>46148</v>
      </c>
      <c r="AA29" s="8" t="str">
        <f t="shared" si="0"/>
        <v>מאי</v>
      </c>
    </row>
    <row r="30" spans="1:27" s="5" customFormat="1" ht="25.1" customHeight="1">
      <c r="A30" s="8" t="s">
        <v>41</v>
      </c>
      <c r="B30" s="8" t="s">
        <v>42</v>
      </c>
      <c r="C30" s="15" t="s">
        <v>139</v>
      </c>
      <c r="D30" s="8" t="s">
        <v>43</v>
      </c>
      <c r="E30" s="8" t="s">
        <v>34</v>
      </c>
      <c r="F30" s="8" t="s">
        <v>44</v>
      </c>
      <c r="G30" s="8" t="s">
        <v>45</v>
      </c>
      <c r="H30" s="11">
        <v>0.4548611111111111</v>
      </c>
      <c r="I30" s="11">
        <v>0.55902777777777779</v>
      </c>
      <c r="J30" s="10">
        <v>46042</v>
      </c>
      <c r="K30" s="10">
        <v>46049</v>
      </c>
      <c r="L30" s="10">
        <v>46056</v>
      </c>
      <c r="M30" s="10">
        <v>46063</v>
      </c>
      <c r="N30" s="10">
        <v>46070</v>
      </c>
      <c r="O30" s="7">
        <v>46077</v>
      </c>
      <c r="P30" s="7">
        <v>46091</v>
      </c>
      <c r="Q30" s="7">
        <v>46098</v>
      </c>
      <c r="R30" s="7">
        <v>46126</v>
      </c>
      <c r="S30" s="7">
        <v>46140</v>
      </c>
      <c r="T30" s="7">
        <v>46147</v>
      </c>
      <c r="U30" s="4"/>
      <c r="V30" s="4"/>
      <c r="W30" s="4"/>
      <c r="X30" s="4"/>
      <c r="Y30" s="4"/>
      <c r="Z30" s="10" cm="1">
        <f t="array" ref="Z30">LOOKUP(2,1/(A30:Y30&lt;&gt;""),A30:Y30)</f>
        <v>46147</v>
      </c>
      <c r="AA30" s="8" t="str">
        <f t="shared" si="0"/>
        <v>מאי</v>
      </c>
    </row>
    <row r="31" spans="1:27" s="5" customFormat="1" ht="25.1" customHeight="1">
      <c r="A31" s="8"/>
      <c r="B31" s="8" t="s">
        <v>42</v>
      </c>
      <c r="C31" s="15" t="s">
        <v>139</v>
      </c>
      <c r="D31" s="8" t="s">
        <v>43</v>
      </c>
      <c r="E31" s="8" t="s">
        <v>34</v>
      </c>
      <c r="F31" s="8" t="s">
        <v>46</v>
      </c>
      <c r="G31" s="8" t="s">
        <v>45</v>
      </c>
      <c r="H31" s="11">
        <v>0.35416666666666669</v>
      </c>
      <c r="I31" s="11">
        <v>0.41666666666666669</v>
      </c>
      <c r="J31" s="10">
        <v>46042</v>
      </c>
      <c r="K31" s="10">
        <v>46049</v>
      </c>
      <c r="L31" s="10">
        <v>46056</v>
      </c>
      <c r="M31" s="10">
        <v>46063</v>
      </c>
      <c r="N31" s="10">
        <v>46070</v>
      </c>
      <c r="O31" s="7">
        <v>46077</v>
      </c>
      <c r="P31" s="7">
        <v>46091</v>
      </c>
      <c r="Q31" s="7">
        <v>46098</v>
      </c>
      <c r="R31" s="7">
        <v>46126</v>
      </c>
      <c r="S31" s="7">
        <v>46140</v>
      </c>
      <c r="T31" s="4"/>
      <c r="U31" s="4"/>
      <c r="V31" s="4"/>
      <c r="W31" s="4"/>
      <c r="X31" s="4"/>
      <c r="Y31" s="4"/>
      <c r="Z31" s="10" cm="1">
        <f t="array" ref="Z31">LOOKUP(2,1/(A31:Y31&lt;&gt;""),A31:Y31)</f>
        <v>46140</v>
      </c>
      <c r="AA31" s="8" t="str">
        <f t="shared" si="0"/>
        <v>אפריל</v>
      </c>
    </row>
    <row r="32" spans="1:27" s="5" customFormat="1" ht="25.1" customHeight="1">
      <c r="A32" s="8" t="s">
        <v>31</v>
      </c>
      <c r="B32" s="8" t="s">
        <v>47</v>
      </c>
      <c r="C32" s="15" t="s">
        <v>139</v>
      </c>
      <c r="D32" s="8" t="s">
        <v>48</v>
      </c>
      <c r="E32" s="8" t="s">
        <v>34</v>
      </c>
      <c r="F32" s="8" t="s">
        <v>49</v>
      </c>
      <c r="G32" s="8" t="s">
        <v>50</v>
      </c>
      <c r="H32" s="11">
        <v>0.34722222222222221</v>
      </c>
      <c r="I32" s="11">
        <v>0.40972222222222221</v>
      </c>
      <c r="J32" s="10">
        <v>46027</v>
      </c>
      <c r="K32" s="10">
        <v>46034</v>
      </c>
      <c r="L32" s="10">
        <v>46041</v>
      </c>
      <c r="M32" s="10">
        <v>46048</v>
      </c>
      <c r="N32" s="10">
        <v>46055</v>
      </c>
      <c r="O32" s="7">
        <v>46062</v>
      </c>
      <c r="P32" s="7">
        <v>46069</v>
      </c>
      <c r="Q32" s="7">
        <v>46076</v>
      </c>
      <c r="R32" s="7">
        <v>46083</v>
      </c>
      <c r="S32" s="4"/>
      <c r="T32" s="4"/>
      <c r="U32" s="4"/>
      <c r="V32" s="4"/>
      <c r="W32" s="4"/>
      <c r="X32" s="4"/>
      <c r="Y32" s="4"/>
      <c r="Z32" s="10" cm="1">
        <f t="array" ref="Z32">LOOKUP(2,1/(A32:Y32&lt;&gt;""),A32:Y32)</f>
        <v>46083</v>
      </c>
      <c r="AA32" s="8" t="str">
        <f t="shared" si="0"/>
        <v>מרץ</v>
      </c>
    </row>
    <row r="33" spans="1:27" s="5" customFormat="1" ht="25.1" customHeight="1">
      <c r="A33" s="8"/>
      <c r="B33" s="8" t="s">
        <v>42</v>
      </c>
      <c r="C33" s="15" t="s">
        <v>139</v>
      </c>
      <c r="D33" s="8" t="s">
        <v>51</v>
      </c>
      <c r="E33" s="8" t="s">
        <v>34</v>
      </c>
      <c r="F33" s="8" t="s">
        <v>52</v>
      </c>
      <c r="G33" s="8" t="s">
        <v>50</v>
      </c>
      <c r="H33" s="11">
        <v>0.33333333333333331</v>
      </c>
      <c r="I33" s="11">
        <v>0.39583333333333331</v>
      </c>
      <c r="J33" s="10">
        <v>46090</v>
      </c>
      <c r="K33" s="10">
        <v>46097</v>
      </c>
      <c r="L33" s="10">
        <v>46132</v>
      </c>
      <c r="M33" s="10">
        <v>46139</v>
      </c>
      <c r="N33" s="10">
        <v>46146</v>
      </c>
      <c r="O33" s="7">
        <v>46153</v>
      </c>
      <c r="P33" s="7">
        <v>46167</v>
      </c>
      <c r="Q33" s="7">
        <v>46174</v>
      </c>
      <c r="R33" s="7">
        <v>46167</v>
      </c>
      <c r="S33" s="7">
        <v>46174</v>
      </c>
      <c r="T33" s="4"/>
      <c r="U33" s="4"/>
      <c r="V33" s="4"/>
      <c r="W33" s="4"/>
      <c r="X33" s="4"/>
      <c r="Y33" s="4"/>
      <c r="Z33" s="10" cm="1">
        <f t="array" ref="Z33">LOOKUP(2,1/(A33:Y33&lt;&gt;""),A33:Y33)</f>
        <v>46174</v>
      </c>
      <c r="AA33" s="8" t="str">
        <f t="shared" si="0"/>
        <v>יוני</v>
      </c>
    </row>
    <row r="34" spans="1:27" s="5" customFormat="1" ht="25.1" customHeight="1">
      <c r="A34" s="8"/>
      <c r="B34" s="8" t="s">
        <v>42</v>
      </c>
      <c r="C34" s="15" t="s">
        <v>139</v>
      </c>
      <c r="D34" s="8" t="s">
        <v>51</v>
      </c>
      <c r="E34" s="8" t="s">
        <v>34</v>
      </c>
      <c r="F34" s="8" t="s">
        <v>52</v>
      </c>
      <c r="G34" s="8" t="s">
        <v>50</v>
      </c>
      <c r="H34" s="11">
        <v>0.40625</v>
      </c>
      <c r="I34" s="11">
        <v>0.46875</v>
      </c>
      <c r="J34" s="10">
        <v>46090</v>
      </c>
      <c r="K34" s="10">
        <v>46097</v>
      </c>
      <c r="L34" s="10">
        <v>46132</v>
      </c>
      <c r="M34" s="10">
        <v>46139</v>
      </c>
      <c r="N34" s="10">
        <v>46146</v>
      </c>
      <c r="O34" s="7">
        <v>46153</v>
      </c>
      <c r="P34" s="7">
        <v>46167</v>
      </c>
      <c r="Q34" s="7">
        <v>46174</v>
      </c>
      <c r="R34" s="7">
        <v>46167</v>
      </c>
      <c r="S34" s="7">
        <v>46174</v>
      </c>
      <c r="T34" s="4"/>
      <c r="U34" s="4"/>
      <c r="V34" s="4"/>
      <c r="W34" s="4"/>
      <c r="X34" s="4"/>
      <c r="Y34" s="4"/>
      <c r="Z34" s="10" cm="1">
        <f t="array" ref="Z34">LOOKUP(2,1/(A34:Y34&lt;&gt;""),A34:Y34)</f>
        <v>46174</v>
      </c>
      <c r="AA34" s="8" t="str">
        <f t="shared" si="0"/>
        <v>יוני</v>
      </c>
    </row>
    <row r="35" spans="1:27" s="5" customFormat="1" ht="25.1" customHeight="1">
      <c r="A35" s="8"/>
      <c r="B35" s="8" t="s">
        <v>42</v>
      </c>
      <c r="C35" s="15" t="s">
        <v>139</v>
      </c>
      <c r="D35" s="8" t="s">
        <v>51</v>
      </c>
      <c r="E35" s="8" t="s">
        <v>34</v>
      </c>
      <c r="F35" s="8" t="s">
        <v>52</v>
      </c>
      <c r="G35" s="8" t="s">
        <v>50</v>
      </c>
      <c r="H35" s="11">
        <v>0.4826388888888889</v>
      </c>
      <c r="I35" s="11">
        <v>0.54513888888888884</v>
      </c>
      <c r="J35" s="10">
        <v>46090</v>
      </c>
      <c r="K35" s="10">
        <v>46097</v>
      </c>
      <c r="L35" s="10">
        <v>46132</v>
      </c>
      <c r="M35" s="10">
        <v>46139</v>
      </c>
      <c r="N35" s="10">
        <v>46146</v>
      </c>
      <c r="O35" s="7">
        <v>46153</v>
      </c>
      <c r="P35" s="7">
        <v>46167</v>
      </c>
      <c r="Q35" s="7">
        <v>46174</v>
      </c>
      <c r="R35" s="7">
        <v>46167</v>
      </c>
      <c r="S35" s="7">
        <v>46174</v>
      </c>
      <c r="T35" s="4"/>
      <c r="U35" s="4"/>
      <c r="V35" s="4"/>
      <c r="W35" s="4"/>
      <c r="X35" s="4"/>
      <c r="Y35" s="4"/>
      <c r="Z35" s="10" cm="1">
        <f t="array" ref="Z35">LOOKUP(2,1/(A35:Y35&lt;&gt;""),A35:Y35)</f>
        <v>46174</v>
      </c>
      <c r="AA35" s="8" t="str">
        <f t="shared" si="0"/>
        <v>יוני</v>
      </c>
    </row>
    <row r="36" spans="1:27" s="5" customFormat="1" ht="25.1" customHeight="1">
      <c r="A36" s="8"/>
      <c r="B36" s="8" t="s">
        <v>53</v>
      </c>
      <c r="C36" s="15" t="s">
        <v>139</v>
      </c>
      <c r="D36" s="8" t="s">
        <v>54</v>
      </c>
      <c r="E36" s="8" t="s">
        <v>34</v>
      </c>
      <c r="F36" s="8" t="s">
        <v>55</v>
      </c>
      <c r="G36" s="8" t="s">
        <v>36</v>
      </c>
      <c r="H36" s="11">
        <v>0.48958333333333331</v>
      </c>
      <c r="I36" s="11">
        <v>0.55208333333333337</v>
      </c>
      <c r="J36" s="10">
        <v>46089</v>
      </c>
      <c r="K36" s="10">
        <v>46096</v>
      </c>
      <c r="L36" s="10">
        <v>46103</v>
      </c>
      <c r="M36" s="10">
        <v>46124</v>
      </c>
      <c r="N36" s="10">
        <v>46131</v>
      </c>
      <c r="O36" s="7">
        <v>46138</v>
      </c>
      <c r="P36" s="7">
        <v>46145</v>
      </c>
      <c r="Q36" s="7">
        <v>46152</v>
      </c>
      <c r="R36" s="7">
        <v>46159</v>
      </c>
      <c r="S36" s="7">
        <v>46166</v>
      </c>
      <c r="T36" s="4"/>
      <c r="U36" s="4"/>
      <c r="V36" s="4"/>
      <c r="W36" s="4"/>
      <c r="X36" s="4"/>
      <c r="Y36" s="4"/>
      <c r="Z36" s="10" cm="1">
        <f t="array" ref="Z36">LOOKUP(2,1/(A36:Y36&lt;&gt;""),A36:Y36)</f>
        <v>46166</v>
      </c>
      <c r="AA36" s="8" t="str">
        <f t="shared" si="0"/>
        <v>מאי</v>
      </c>
    </row>
    <row r="37" spans="1:27" s="5" customFormat="1" ht="25.1" customHeight="1">
      <c r="A37" s="8"/>
      <c r="B37" s="8" t="s">
        <v>53</v>
      </c>
      <c r="C37" s="15" t="s">
        <v>139</v>
      </c>
      <c r="D37" s="8" t="s">
        <v>54</v>
      </c>
      <c r="E37" s="8" t="s">
        <v>34</v>
      </c>
      <c r="F37" s="8" t="s">
        <v>55</v>
      </c>
      <c r="G37" s="8" t="s">
        <v>36</v>
      </c>
      <c r="H37" s="11">
        <v>0.33333333333333331</v>
      </c>
      <c r="I37" s="11">
        <v>0.3923611111111111</v>
      </c>
      <c r="J37" s="10">
        <v>46089</v>
      </c>
      <c r="K37" s="10">
        <v>46096</v>
      </c>
      <c r="L37" s="10">
        <v>46103</v>
      </c>
      <c r="M37" s="10">
        <v>46124</v>
      </c>
      <c r="N37" s="10">
        <v>46131</v>
      </c>
      <c r="O37" s="7">
        <v>46138</v>
      </c>
      <c r="P37" s="7">
        <v>46145</v>
      </c>
      <c r="Q37" s="7">
        <v>46152</v>
      </c>
      <c r="R37" s="7">
        <v>46159</v>
      </c>
      <c r="S37" s="7">
        <v>46166</v>
      </c>
      <c r="T37" s="4"/>
      <c r="U37" s="4"/>
      <c r="V37" s="4"/>
      <c r="W37" s="4"/>
      <c r="X37" s="4"/>
      <c r="Y37" s="4"/>
      <c r="Z37" s="10" cm="1">
        <f t="array" ref="Z37">LOOKUP(2,1/(A37:Y37&lt;&gt;""),A37:Y37)</f>
        <v>46166</v>
      </c>
      <c r="AA37" s="8" t="str">
        <f t="shared" si="0"/>
        <v>מאי</v>
      </c>
    </row>
    <row r="38" spans="1:27" s="5" customFormat="1" ht="25.1" customHeight="1">
      <c r="A38" s="8"/>
      <c r="B38" s="8" t="s">
        <v>42</v>
      </c>
      <c r="C38" s="15" t="s">
        <v>139</v>
      </c>
      <c r="D38" s="8" t="s">
        <v>56</v>
      </c>
      <c r="E38" s="8" t="s">
        <v>34</v>
      </c>
      <c r="F38" s="8" t="s">
        <v>57</v>
      </c>
      <c r="G38" s="8" t="s">
        <v>40</v>
      </c>
      <c r="H38" s="11">
        <v>0.4201388888888889</v>
      </c>
      <c r="I38" s="11">
        <v>0.47916666666666669</v>
      </c>
      <c r="J38" s="10">
        <v>46071</v>
      </c>
      <c r="K38" s="10">
        <v>46078</v>
      </c>
      <c r="L38" s="10">
        <v>46092</v>
      </c>
      <c r="M38" s="10">
        <v>46099</v>
      </c>
      <c r="N38" s="7">
        <v>46127</v>
      </c>
      <c r="O38" s="7">
        <v>46141</v>
      </c>
      <c r="P38" s="7">
        <v>46148</v>
      </c>
      <c r="Q38" s="7">
        <v>46155</v>
      </c>
      <c r="R38" s="7">
        <v>46162</v>
      </c>
      <c r="S38" s="12"/>
      <c r="T38" s="4"/>
      <c r="U38" s="4"/>
      <c r="V38" s="4"/>
      <c r="W38" s="4"/>
      <c r="X38" s="4"/>
      <c r="Y38" s="4"/>
      <c r="Z38" s="10" cm="1">
        <f t="array" ref="Z38">LOOKUP(2,1/(A38:Y38&lt;&gt;""),A38:Y38)</f>
        <v>46162</v>
      </c>
      <c r="AA38" s="8" t="str">
        <f t="shared" si="0"/>
        <v>מאי</v>
      </c>
    </row>
    <row r="39" spans="1:27" s="5" customFormat="1" ht="25.1" customHeight="1">
      <c r="A39" s="8"/>
      <c r="B39" s="8" t="s">
        <v>58</v>
      </c>
      <c r="C39" s="15" t="s">
        <v>139</v>
      </c>
      <c r="D39" s="8" t="s">
        <v>56</v>
      </c>
      <c r="E39" s="8" t="s">
        <v>34</v>
      </c>
      <c r="F39" s="8" t="s">
        <v>57</v>
      </c>
      <c r="G39" s="8" t="s">
        <v>40</v>
      </c>
      <c r="H39" s="11">
        <v>0.34375</v>
      </c>
      <c r="I39" s="11">
        <v>0.40277777777777779</v>
      </c>
      <c r="J39" s="10">
        <v>46071</v>
      </c>
      <c r="K39" s="10">
        <v>46078</v>
      </c>
      <c r="L39" s="10">
        <v>46092</v>
      </c>
      <c r="M39" s="10">
        <v>46099</v>
      </c>
      <c r="N39" s="7">
        <v>46127</v>
      </c>
      <c r="O39" s="7">
        <v>46141</v>
      </c>
      <c r="P39" s="7">
        <v>46148</v>
      </c>
      <c r="Q39" s="7">
        <v>46155</v>
      </c>
      <c r="R39" s="7">
        <v>46162</v>
      </c>
      <c r="S39" s="12"/>
      <c r="T39" s="4"/>
      <c r="U39" s="4"/>
      <c r="V39" s="4"/>
      <c r="W39" s="4"/>
      <c r="X39" s="4"/>
      <c r="Y39" s="4"/>
      <c r="Z39" s="10" cm="1">
        <f t="array" ref="Z39">LOOKUP(2,1/(A39:Y39&lt;&gt;""),A39:Y39)</f>
        <v>46162</v>
      </c>
      <c r="AA39" s="8" t="str">
        <f t="shared" si="0"/>
        <v>מאי</v>
      </c>
    </row>
    <row r="40" spans="1:27" s="5" customFormat="1" ht="25.1" customHeight="1">
      <c r="A40" s="8" t="s">
        <v>31</v>
      </c>
      <c r="B40" s="8" t="s">
        <v>53</v>
      </c>
      <c r="C40" s="15" t="s">
        <v>139</v>
      </c>
      <c r="D40" s="8" t="s">
        <v>59</v>
      </c>
      <c r="E40" s="8" t="s">
        <v>34</v>
      </c>
      <c r="F40" s="8" t="s">
        <v>60</v>
      </c>
      <c r="G40" s="8" t="s">
        <v>50</v>
      </c>
      <c r="H40" s="11">
        <v>0.48958333333333331</v>
      </c>
      <c r="I40" s="11">
        <v>0.55902777777777779</v>
      </c>
      <c r="J40" s="10">
        <v>46034</v>
      </c>
      <c r="K40" s="10">
        <v>46041</v>
      </c>
      <c r="L40" s="10">
        <v>46055</v>
      </c>
      <c r="M40" s="10">
        <v>46062</v>
      </c>
      <c r="N40" s="10">
        <v>46069</v>
      </c>
      <c r="O40" s="7">
        <v>46076</v>
      </c>
      <c r="P40" s="7">
        <v>46090</v>
      </c>
      <c r="Q40" s="7">
        <v>46097</v>
      </c>
      <c r="R40" s="7">
        <v>46139</v>
      </c>
      <c r="S40" s="7">
        <v>46146</v>
      </c>
      <c r="T40" s="4"/>
      <c r="U40" s="4"/>
      <c r="V40" s="4"/>
      <c r="W40" s="4"/>
      <c r="X40" s="4"/>
      <c r="Y40" s="4"/>
      <c r="Z40" s="10" cm="1">
        <f t="array" ref="Z40">LOOKUP(2,1/(A40:Y40&lt;&gt;""),A40:Y40)</f>
        <v>46146</v>
      </c>
      <c r="AA40" s="8" t="str">
        <f t="shared" si="0"/>
        <v>מאי</v>
      </c>
    </row>
    <row r="41" spans="1:27" s="5" customFormat="1" ht="25.1" customHeight="1">
      <c r="A41" s="8" t="s">
        <v>31</v>
      </c>
      <c r="B41" s="8" t="s">
        <v>47</v>
      </c>
      <c r="C41" s="15" t="s">
        <v>139</v>
      </c>
      <c r="D41" s="8" t="s">
        <v>59</v>
      </c>
      <c r="E41" s="8" t="s">
        <v>34</v>
      </c>
      <c r="F41" s="8" t="s">
        <v>60</v>
      </c>
      <c r="G41" s="8" t="s">
        <v>45</v>
      </c>
      <c r="H41" s="11">
        <v>0.33333333333333331</v>
      </c>
      <c r="I41" s="11">
        <v>0.40277777777777779</v>
      </c>
      <c r="J41" s="10">
        <v>46035</v>
      </c>
      <c r="K41" s="10">
        <v>46042</v>
      </c>
      <c r="L41" s="10">
        <v>46056</v>
      </c>
      <c r="M41" s="10">
        <v>46063</v>
      </c>
      <c r="N41" s="10">
        <v>46070</v>
      </c>
      <c r="O41" s="7">
        <v>46077</v>
      </c>
      <c r="P41" s="7">
        <v>46091</v>
      </c>
      <c r="Q41" s="7">
        <v>46098</v>
      </c>
      <c r="R41" s="4"/>
      <c r="S41" s="4"/>
      <c r="T41" s="4"/>
      <c r="U41" s="4"/>
      <c r="V41" s="4"/>
      <c r="W41" s="4"/>
      <c r="X41" s="4"/>
      <c r="Y41" s="4"/>
      <c r="Z41" s="10" cm="1">
        <f t="array" ref="Z41">LOOKUP(2,1/(A41:Y41&lt;&gt;""),A41:Y41)</f>
        <v>46098</v>
      </c>
      <c r="AA41" s="8" t="str">
        <f t="shared" si="0"/>
        <v>מרץ</v>
      </c>
    </row>
    <row r="42" spans="1:27" s="5" customFormat="1" ht="25.1" customHeight="1">
      <c r="A42" s="8" t="s">
        <v>31</v>
      </c>
      <c r="B42" s="8" t="s">
        <v>53</v>
      </c>
      <c r="C42" s="15" t="s">
        <v>139</v>
      </c>
      <c r="D42" s="8" t="s">
        <v>59</v>
      </c>
      <c r="E42" s="8" t="s">
        <v>34</v>
      </c>
      <c r="F42" s="8" t="s">
        <v>60</v>
      </c>
      <c r="G42" s="8" t="s">
        <v>45</v>
      </c>
      <c r="H42" s="11">
        <v>0.40972222222222221</v>
      </c>
      <c r="I42" s="11">
        <v>0.48958333333333331</v>
      </c>
      <c r="J42" s="10">
        <v>46035</v>
      </c>
      <c r="K42" s="10">
        <v>46042</v>
      </c>
      <c r="L42" s="10">
        <v>46056</v>
      </c>
      <c r="M42" s="10">
        <v>46070</v>
      </c>
      <c r="N42" s="10">
        <v>46077</v>
      </c>
      <c r="O42" s="7">
        <v>46091</v>
      </c>
      <c r="P42" s="7">
        <v>46098</v>
      </c>
      <c r="Q42" s="7">
        <v>46140</v>
      </c>
      <c r="R42" s="7">
        <v>46147</v>
      </c>
      <c r="S42" s="7">
        <v>46154</v>
      </c>
      <c r="T42" s="4"/>
      <c r="U42" s="4"/>
      <c r="V42" s="4"/>
      <c r="W42" s="4"/>
      <c r="X42" s="4"/>
      <c r="Y42" s="4"/>
      <c r="Z42" s="10" cm="1">
        <f t="array" ref="Z42">LOOKUP(2,1/(A42:Y42&lt;&gt;""),A42:Y42)</f>
        <v>46154</v>
      </c>
      <c r="AA42" s="8" t="str">
        <f t="shared" si="0"/>
        <v>מאי</v>
      </c>
    </row>
    <row r="43" spans="1:27" s="5" customFormat="1" ht="25.1" customHeight="1">
      <c r="A43" s="8" t="s">
        <v>31</v>
      </c>
      <c r="B43" s="8" t="s">
        <v>58</v>
      </c>
      <c r="C43" s="15" t="s">
        <v>139</v>
      </c>
      <c r="D43" s="8" t="s">
        <v>59</v>
      </c>
      <c r="E43" s="8" t="s">
        <v>34</v>
      </c>
      <c r="F43" s="8" t="s">
        <v>60</v>
      </c>
      <c r="G43" s="8" t="s">
        <v>45</v>
      </c>
      <c r="H43" s="11">
        <v>0.48958333333333331</v>
      </c>
      <c r="I43" s="11">
        <v>0.55902777777777779</v>
      </c>
      <c r="J43" s="10">
        <v>46035</v>
      </c>
      <c r="K43" s="10">
        <v>46042</v>
      </c>
      <c r="L43" s="10">
        <v>46056</v>
      </c>
      <c r="M43" s="10">
        <v>46070</v>
      </c>
      <c r="N43" s="10">
        <v>46077</v>
      </c>
      <c r="O43" s="7">
        <v>46091</v>
      </c>
      <c r="P43" s="7">
        <v>46098</v>
      </c>
      <c r="Q43" s="7">
        <v>46140</v>
      </c>
      <c r="R43" s="7">
        <v>46147</v>
      </c>
      <c r="S43" s="4"/>
      <c r="T43" s="4"/>
      <c r="U43" s="4"/>
      <c r="V43" s="4"/>
      <c r="W43" s="4"/>
      <c r="X43" s="4"/>
      <c r="Y43" s="4"/>
      <c r="Z43" s="10" cm="1">
        <f t="array" ref="Z43">LOOKUP(2,1/(A43:Y43&lt;&gt;""),A43:Y43)</f>
        <v>46147</v>
      </c>
      <c r="AA43" s="8" t="str">
        <f t="shared" si="0"/>
        <v>מאי</v>
      </c>
    </row>
    <row r="44" spans="1:27" s="5" customFormat="1" ht="25.1" customHeight="1">
      <c r="A44" s="8" t="s">
        <v>61</v>
      </c>
      <c r="B44" s="8" t="s">
        <v>32</v>
      </c>
      <c r="C44" s="15" t="s">
        <v>139</v>
      </c>
      <c r="D44" s="8" t="s">
        <v>62</v>
      </c>
      <c r="E44" s="8" t="s">
        <v>34</v>
      </c>
      <c r="F44" s="8" t="s">
        <v>63</v>
      </c>
      <c r="G44" s="8" t="s">
        <v>50</v>
      </c>
      <c r="H44" s="11">
        <v>0.42708333333333331</v>
      </c>
      <c r="I44" s="11">
        <v>0.48958333333333331</v>
      </c>
      <c r="J44" s="10">
        <v>46034</v>
      </c>
      <c r="K44" s="10">
        <v>46048</v>
      </c>
      <c r="L44" s="10">
        <v>46062</v>
      </c>
      <c r="M44" s="10">
        <v>46076</v>
      </c>
      <c r="N44" s="10">
        <v>46090</v>
      </c>
      <c r="O44" s="7">
        <v>46104</v>
      </c>
      <c r="P44" s="7">
        <v>46146</v>
      </c>
      <c r="Q44" s="7">
        <v>46160</v>
      </c>
      <c r="R44" s="7">
        <v>46181</v>
      </c>
      <c r="S44" s="7">
        <v>46188</v>
      </c>
      <c r="T44" s="4"/>
      <c r="U44" s="4"/>
      <c r="V44" s="4"/>
      <c r="W44" s="4"/>
      <c r="X44" s="4"/>
      <c r="Y44" s="4"/>
      <c r="Z44" s="10" cm="1">
        <f t="array" ref="Z44">LOOKUP(2,1/(A44:Y44&lt;&gt;""),A44:Y44)</f>
        <v>46188</v>
      </c>
      <c r="AA44" s="8" t="str">
        <f t="shared" si="0"/>
        <v>יוני</v>
      </c>
    </row>
    <row r="45" spans="1:27" s="5" customFormat="1" ht="25.1" customHeight="1">
      <c r="A45" s="8" t="s">
        <v>61</v>
      </c>
      <c r="B45" s="8" t="s">
        <v>32</v>
      </c>
      <c r="C45" s="15" t="s">
        <v>139</v>
      </c>
      <c r="D45" s="8" t="s">
        <v>62</v>
      </c>
      <c r="E45" s="8" t="s">
        <v>34</v>
      </c>
      <c r="F45" s="8" t="s">
        <v>63</v>
      </c>
      <c r="G45" s="8" t="s">
        <v>50</v>
      </c>
      <c r="H45" s="11">
        <v>0.5</v>
      </c>
      <c r="I45" s="11">
        <v>0.56944444444444442</v>
      </c>
      <c r="J45" s="10">
        <v>46034</v>
      </c>
      <c r="K45" s="10">
        <v>46048</v>
      </c>
      <c r="L45" s="10">
        <v>46062</v>
      </c>
      <c r="M45" s="10">
        <v>46076</v>
      </c>
      <c r="N45" s="10">
        <v>46090</v>
      </c>
      <c r="O45" s="7">
        <v>46104</v>
      </c>
      <c r="P45" s="7">
        <v>46146</v>
      </c>
      <c r="Q45" s="7">
        <v>46160</v>
      </c>
      <c r="R45" s="7">
        <v>46181</v>
      </c>
      <c r="S45" s="7">
        <v>46188</v>
      </c>
      <c r="T45" s="4"/>
      <c r="U45" s="4"/>
      <c r="V45" s="4"/>
      <c r="W45" s="4"/>
      <c r="X45" s="4"/>
      <c r="Y45" s="4"/>
      <c r="Z45" s="10" cm="1">
        <f t="array" ref="Z45">LOOKUP(2,1/(A45:Y45&lt;&gt;""),A45:Y45)</f>
        <v>46188</v>
      </c>
      <c r="AA45" s="8" t="str">
        <f t="shared" si="0"/>
        <v>יוני</v>
      </c>
    </row>
    <row r="46" spans="1:27" s="5" customFormat="1" ht="25.1" customHeight="1">
      <c r="A46" s="8" t="s">
        <v>64</v>
      </c>
      <c r="B46" s="8" t="s">
        <v>32</v>
      </c>
      <c r="C46" s="15" t="s">
        <v>139</v>
      </c>
      <c r="D46" s="8" t="s">
        <v>65</v>
      </c>
      <c r="E46" s="8" t="s">
        <v>66</v>
      </c>
      <c r="F46" s="8" t="s">
        <v>67</v>
      </c>
      <c r="G46" s="8" t="s">
        <v>68</v>
      </c>
      <c r="H46" s="11">
        <v>0.42708333333333331</v>
      </c>
      <c r="I46" s="11">
        <v>0.49305555555555558</v>
      </c>
      <c r="J46" s="10">
        <v>46040</v>
      </c>
      <c r="K46" s="10">
        <v>46047</v>
      </c>
      <c r="L46" s="10">
        <v>46054</v>
      </c>
      <c r="M46" s="10">
        <v>46061</v>
      </c>
      <c r="N46" s="10">
        <v>46068</v>
      </c>
      <c r="O46" s="7">
        <v>46075</v>
      </c>
      <c r="P46" s="7">
        <v>46082</v>
      </c>
      <c r="Q46" s="7">
        <v>46089</v>
      </c>
      <c r="R46" s="7">
        <v>46096</v>
      </c>
      <c r="S46" s="7">
        <v>46103</v>
      </c>
      <c r="T46" s="4"/>
      <c r="U46" s="4"/>
      <c r="V46" s="4"/>
      <c r="W46" s="4"/>
      <c r="X46" s="4"/>
      <c r="Y46" s="4"/>
      <c r="Z46" s="10" cm="1">
        <f t="array" ref="Z46">LOOKUP(2,1/(A46:Y46&lt;&gt;""),A46:Y46)</f>
        <v>46103</v>
      </c>
      <c r="AA46" s="8" t="str">
        <f t="shared" si="0"/>
        <v>מרץ</v>
      </c>
    </row>
    <row r="47" spans="1:27" s="5" customFormat="1" ht="25.1" customHeight="1">
      <c r="A47" s="8" t="s">
        <v>69</v>
      </c>
      <c r="B47" s="8" t="s">
        <v>32</v>
      </c>
      <c r="C47" s="15" t="s">
        <v>139</v>
      </c>
      <c r="D47" s="8" t="s">
        <v>65</v>
      </c>
      <c r="E47" s="8" t="s">
        <v>66</v>
      </c>
      <c r="F47" s="8" t="s">
        <v>67</v>
      </c>
      <c r="G47" s="8" t="s">
        <v>40</v>
      </c>
      <c r="H47" s="11">
        <v>0.33333333333333331</v>
      </c>
      <c r="I47" s="11">
        <v>0.40277777777777779</v>
      </c>
      <c r="J47" s="10">
        <v>46036</v>
      </c>
      <c r="K47" s="10">
        <v>46043</v>
      </c>
      <c r="L47" s="10">
        <v>46050</v>
      </c>
      <c r="M47" s="10">
        <v>46057</v>
      </c>
      <c r="N47" s="10">
        <v>46064</v>
      </c>
      <c r="O47" s="7">
        <v>46071</v>
      </c>
      <c r="P47" s="7">
        <v>46078</v>
      </c>
      <c r="Q47" s="7">
        <v>46092</v>
      </c>
      <c r="R47" s="7">
        <v>46099</v>
      </c>
      <c r="S47" s="7">
        <v>46127</v>
      </c>
      <c r="T47" s="4"/>
      <c r="U47" s="4"/>
      <c r="V47" s="4"/>
      <c r="W47" s="4"/>
      <c r="X47" s="4"/>
      <c r="Y47" s="4"/>
      <c r="Z47" s="10" cm="1">
        <f t="array" ref="Z47">LOOKUP(2,1/(A47:Y47&lt;&gt;""),A47:Y47)</f>
        <v>46127</v>
      </c>
      <c r="AA47" s="8" t="str">
        <f t="shared" si="0"/>
        <v>אפריל</v>
      </c>
    </row>
    <row r="48" spans="1:27" s="5" customFormat="1" ht="25.1" customHeight="1">
      <c r="A48" s="8" t="s">
        <v>69</v>
      </c>
      <c r="B48" s="8" t="s">
        <v>70</v>
      </c>
      <c r="C48" s="15" t="s">
        <v>139</v>
      </c>
      <c r="D48" s="8" t="s">
        <v>71</v>
      </c>
      <c r="E48" s="8" t="s">
        <v>66</v>
      </c>
      <c r="F48" s="8" t="s">
        <v>71</v>
      </c>
      <c r="G48" s="8" t="s">
        <v>40</v>
      </c>
      <c r="H48" s="11">
        <v>0.5</v>
      </c>
      <c r="I48" s="11">
        <v>0.5625</v>
      </c>
      <c r="J48" s="10">
        <v>46064</v>
      </c>
      <c r="K48" s="10">
        <v>46071</v>
      </c>
      <c r="L48" s="10">
        <v>46078</v>
      </c>
      <c r="M48" s="10">
        <v>46092</v>
      </c>
      <c r="N48" s="10">
        <v>46099</v>
      </c>
      <c r="O48" s="7">
        <v>46127</v>
      </c>
      <c r="P48" s="7">
        <v>46141</v>
      </c>
      <c r="Q48" s="7">
        <v>46148</v>
      </c>
      <c r="R48" s="7">
        <v>46155</v>
      </c>
      <c r="S48" s="7">
        <v>46162</v>
      </c>
      <c r="T48" s="7">
        <v>46169</v>
      </c>
      <c r="U48" s="7">
        <v>46176</v>
      </c>
      <c r="V48" s="7">
        <v>46183</v>
      </c>
      <c r="W48" s="7">
        <v>46190</v>
      </c>
      <c r="X48" s="4"/>
      <c r="Y48" s="4"/>
      <c r="Z48" s="10" cm="1">
        <f t="array" ref="Z48">LOOKUP(2,1/(A48:Y48&lt;&gt;""),A48:Y48)</f>
        <v>46190</v>
      </c>
      <c r="AA48" s="8" t="str">
        <f t="shared" si="0"/>
        <v>יוני</v>
      </c>
    </row>
    <row r="49" spans="1:27" s="5" customFormat="1" ht="25.1" customHeight="1">
      <c r="A49" s="8" t="s">
        <v>72</v>
      </c>
      <c r="B49" s="8" t="s">
        <v>32</v>
      </c>
      <c r="C49" s="15" t="s">
        <v>139</v>
      </c>
      <c r="D49" s="8" t="s">
        <v>73</v>
      </c>
      <c r="E49" s="8" t="s">
        <v>66</v>
      </c>
      <c r="F49" s="8" t="s">
        <v>74</v>
      </c>
      <c r="G49" s="8" t="s">
        <v>75</v>
      </c>
      <c r="H49" s="11">
        <v>0.34722222222222221</v>
      </c>
      <c r="I49" s="11">
        <v>0.40625</v>
      </c>
      <c r="J49" s="10">
        <v>46031</v>
      </c>
      <c r="K49" s="10">
        <v>46038</v>
      </c>
      <c r="L49" s="10">
        <v>46045</v>
      </c>
      <c r="M49" s="10">
        <v>46052</v>
      </c>
      <c r="N49" s="10">
        <v>46059</v>
      </c>
      <c r="O49" s="7">
        <v>46066</v>
      </c>
      <c r="P49" s="7">
        <v>46073</v>
      </c>
      <c r="Q49" s="7">
        <v>46080</v>
      </c>
      <c r="R49" s="7">
        <v>46087</v>
      </c>
      <c r="S49" s="7">
        <v>46094</v>
      </c>
      <c r="T49" s="4"/>
      <c r="U49" s="4"/>
      <c r="V49" s="4"/>
      <c r="W49" s="4"/>
      <c r="X49" s="4"/>
      <c r="Y49" s="4"/>
      <c r="Z49" s="10" cm="1">
        <f t="array" ref="Z49">LOOKUP(2,1/(A49:Y49&lt;&gt;""),A49:Y49)</f>
        <v>46094</v>
      </c>
      <c r="AA49" s="8" t="str">
        <f t="shared" si="0"/>
        <v>מרץ</v>
      </c>
    </row>
    <row r="50" spans="1:27" s="5" customFormat="1" ht="25.1" customHeight="1">
      <c r="A50" s="8" t="s">
        <v>76</v>
      </c>
      <c r="B50" s="8" t="s">
        <v>47</v>
      </c>
      <c r="C50" s="15" t="s">
        <v>139</v>
      </c>
      <c r="D50" s="8" t="s">
        <v>73</v>
      </c>
      <c r="E50" s="8" t="s">
        <v>66</v>
      </c>
      <c r="F50" s="8" t="s">
        <v>77</v>
      </c>
      <c r="G50" s="8" t="s">
        <v>68</v>
      </c>
      <c r="H50" s="11">
        <v>0.33333333333333331</v>
      </c>
      <c r="I50" s="11">
        <v>0.40277777777777779</v>
      </c>
      <c r="J50" s="10">
        <v>46026</v>
      </c>
      <c r="K50" s="10">
        <v>46033</v>
      </c>
      <c r="L50" s="10">
        <v>46040</v>
      </c>
      <c r="M50" s="10">
        <v>46047</v>
      </c>
      <c r="N50" s="10">
        <v>46054</v>
      </c>
      <c r="O50" s="7">
        <v>46061</v>
      </c>
      <c r="P50" s="7">
        <v>46068</v>
      </c>
      <c r="Q50" s="7">
        <v>46075</v>
      </c>
      <c r="R50" s="4"/>
      <c r="S50" s="4"/>
      <c r="T50" s="4"/>
      <c r="U50" s="4"/>
      <c r="V50" s="4"/>
      <c r="W50" s="4"/>
      <c r="X50" s="4"/>
      <c r="Y50" s="4"/>
      <c r="Z50" s="10" cm="1">
        <f t="array" ref="Z50">LOOKUP(2,1/(A50:Y50&lt;&gt;""),A50:Y50)</f>
        <v>46075</v>
      </c>
      <c r="AA50" s="8" t="str">
        <f t="shared" si="0"/>
        <v>פברואר</v>
      </c>
    </row>
    <row r="51" spans="1:27" s="5" customFormat="1" ht="25.1" customHeight="1">
      <c r="A51" s="8" t="s">
        <v>76</v>
      </c>
      <c r="B51" s="8" t="s">
        <v>47</v>
      </c>
      <c r="C51" s="15" t="s">
        <v>139</v>
      </c>
      <c r="D51" s="8" t="s">
        <v>73</v>
      </c>
      <c r="E51" s="8" t="s">
        <v>66</v>
      </c>
      <c r="F51" s="8" t="s">
        <v>77</v>
      </c>
      <c r="G51" s="8" t="s">
        <v>68</v>
      </c>
      <c r="H51" s="11">
        <v>0.42708333333333331</v>
      </c>
      <c r="I51" s="11">
        <v>0.5</v>
      </c>
      <c r="J51" s="10">
        <v>46026</v>
      </c>
      <c r="K51" s="10">
        <v>46033</v>
      </c>
      <c r="L51" s="10">
        <v>46040</v>
      </c>
      <c r="M51" s="10">
        <v>46047</v>
      </c>
      <c r="N51" s="10">
        <v>46054</v>
      </c>
      <c r="O51" s="7">
        <v>46061</v>
      </c>
      <c r="P51" s="7">
        <v>46068</v>
      </c>
      <c r="Q51" s="7">
        <v>46075</v>
      </c>
      <c r="R51" s="4"/>
      <c r="S51" s="4"/>
      <c r="T51" s="4"/>
      <c r="U51" s="4"/>
      <c r="V51" s="4"/>
      <c r="W51" s="4"/>
      <c r="X51" s="4"/>
      <c r="Y51" s="4"/>
      <c r="Z51" s="10" cm="1">
        <f t="array" ref="Z51">LOOKUP(2,1/(A51:Y51&lt;&gt;""),A51:Y51)</f>
        <v>46075</v>
      </c>
      <c r="AA51" s="8" t="str">
        <f t="shared" si="0"/>
        <v>פברואר</v>
      </c>
    </row>
    <row r="52" spans="1:27" s="5" customFormat="1" ht="25.1" customHeight="1">
      <c r="A52" s="8" t="s">
        <v>69</v>
      </c>
      <c r="B52" s="8" t="s">
        <v>78</v>
      </c>
      <c r="C52" s="15" t="s">
        <v>139</v>
      </c>
      <c r="D52" s="8" t="s">
        <v>79</v>
      </c>
      <c r="E52" s="8" t="s">
        <v>66</v>
      </c>
      <c r="F52" s="8" t="s">
        <v>80</v>
      </c>
      <c r="G52" s="8" t="s">
        <v>50</v>
      </c>
      <c r="H52" s="11">
        <v>0.34375</v>
      </c>
      <c r="I52" s="11">
        <v>0.40625</v>
      </c>
      <c r="J52" s="10">
        <v>46027</v>
      </c>
      <c r="K52" s="10">
        <v>46034</v>
      </c>
      <c r="L52" s="10">
        <v>46041</v>
      </c>
      <c r="M52" s="10">
        <v>46048</v>
      </c>
      <c r="N52" s="10">
        <v>46055</v>
      </c>
      <c r="O52" s="7">
        <v>46062</v>
      </c>
      <c r="P52" s="7">
        <v>46069</v>
      </c>
      <c r="Q52" s="7">
        <v>46076</v>
      </c>
      <c r="R52" s="7">
        <v>46083</v>
      </c>
      <c r="S52" s="7">
        <v>46090</v>
      </c>
      <c r="T52" s="7">
        <v>46097</v>
      </c>
      <c r="U52" s="7">
        <v>46104</v>
      </c>
      <c r="V52" s="4"/>
      <c r="W52" s="4"/>
      <c r="X52" s="4"/>
      <c r="Y52" s="4"/>
      <c r="Z52" s="10" cm="1">
        <f t="array" ref="Z52">LOOKUP(2,1/(A52:Y52&lt;&gt;""),A52:Y52)</f>
        <v>46104</v>
      </c>
      <c r="AA52" s="8" t="str">
        <f t="shared" si="0"/>
        <v>מרץ</v>
      </c>
    </row>
    <row r="53" spans="1:27" s="5" customFormat="1" ht="25.1" customHeight="1">
      <c r="A53" s="8" t="s">
        <v>81</v>
      </c>
      <c r="B53" s="8" t="s">
        <v>32</v>
      </c>
      <c r="C53" s="15" t="s">
        <v>139</v>
      </c>
      <c r="D53" s="8" t="s">
        <v>82</v>
      </c>
      <c r="E53" s="8" t="s">
        <v>66</v>
      </c>
      <c r="F53" s="8" t="s">
        <v>83</v>
      </c>
      <c r="G53" s="8" t="s">
        <v>45</v>
      </c>
      <c r="H53" s="11">
        <v>0.34375</v>
      </c>
      <c r="I53" s="11">
        <v>0.40625</v>
      </c>
      <c r="J53" s="10">
        <v>46035</v>
      </c>
      <c r="K53" s="10">
        <v>46042</v>
      </c>
      <c r="L53" s="10">
        <v>46049</v>
      </c>
      <c r="M53" s="10">
        <v>46056</v>
      </c>
      <c r="N53" s="10">
        <v>46063</v>
      </c>
      <c r="O53" s="7">
        <v>46070</v>
      </c>
      <c r="P53" s="7">
        <v>46077</v>
      </c>
      <c r="Q53" s="7">
        <v>46091</v>
      </c>
      <c r="R53" s="7">
        <v>46098</v>
      </c>
      <c r="S53" s="7">
        <v>46126</v>
      </c>
      <c r="T53" s="4"/>
      <c r="U53" s="4"/>
      <c r="V53" s="4"/>
      <c r="W53" s="4"/>
      <c r="X53" s="4"/>
      <c r="Y53" s="4"/>
      <c r="Z53" s="10" cm="1">
        <f t="array" ref="Z53">LOOKUP(2,1/(A53:Y53&lt;&gt;""),A53:Y53)</f>
        <v>46126</v>
      </c>
      <c r="AA53" s="8" t="str">
        <f t="shared" si="0"/>
        <v>אפריל</v>
      </c>
    </row>
    <row r="54" spans="1:27" s="5" customFormat="1" ht="25.1" customHeight="1">
      <c r="A54" s="8" t="s">
        <v>81</v>
      </c>
      <c r="B54" s="8" t="s">
        <v>47</v>
      </c>
      <c r="C54" s="15" t="s">
        <v>139</v>
      </c>
      <c r="D54" s="8" t="s">
        <v>82</v>
      </c>
      <c r="E54" s="8" t="s">
        <v>66</v>
      </c>
      <c r="F54" s="8" t="s">
        <v>84</v>
      </c>
      <c r="G54" s="8" t="s">
        <v>45</v>
      </c>
      <c r="H54" s="11">
        <v>0.4375</v>
      </c>
      <c r="I54" s="11">
        <v>0.5</v>
      </c>
      <c r="J54" s="10">
        <v>46063</v>
      </c>
      <c r="K54" s="10">
        <v>46070</v>
      </c>
      <c r="L54" s="10">
        <v>46077</v>
      </c>
      <c r="M54" s="10">
        <v>46091</v>
      </c>
      <c r="N54" s="10">
        <v>46098</v>
      </c>
      <c r="O54" s="7">
        <v>46126</v>
      </c>
      <c r="P54" s="7">
        <v>46140</v>
      </c>
      <c r="Q54" s="7">
        <v>46147</v>
      </c>
      <c r="R54" s="4"/>
      <c r="S54" s="4"/>
      <c r="T54" s="4"/>
      <c r="U54" s="4"/>
      <c r="V54" s="4"/>
      <c r="W54" s="4"/>
      <c r="X54" s="4"/>
      <c r="Y54" s="4"/>
      <c r="Z54" s="10" cm="1">
        <f t="array" ref="Z54">LOOKUP(2,1/(A54:Y54&lt;&gt;""),A54:Y54)</f>
        <v>46147</v>
      </c>
      <c r="AA54" s="8" t="str">
        <f t="shared" si="0"/>
        <v>מאי</v>
      </c>
    </row>
    <row r="55" spans="1:27" s="5" customFormat="1" ht="25.1" customHeight="1">
      <c r="A55" s="8" t="s">
        <v>81</v>
      </c>
      <c r="B55" s="8" t="s">
        <v>32</v>
      </c>
      <c r="C55" s="15" t="s">
        <v>139</v>
      </c>
      <c r="D55" s="8" t="s">
        <v>85</v>
      </c>
      <c r="E55" s="8" t="s">
        <v>66</v>
      </c>
      <c r="F55" s="8" t="s">
        <v>86</v>
      </c>
      <c r="G55" s="8" t="s">
        <v>68</v>
      </c>
      <c r="H55" s="11">
        <v>0.5</v>
      </c>
      <c r="I55" s="11">
        <v>0.5625</v>
      </c>
      <c r="J55" s="10">
        <v>46061</v>
      </c>
      <c r="K55" s="10">
        <v>46068</v>
      </c>
      <c r="L55" s="10">
        <v>46075</v>
      </c>
      <c r="M55" s="10">
        <v>46082</v>
      </c>
      <c r="N55" s="10">
        <v>46089</v>
      </c>
      <c r="O55" s="7">
        <v>46096</v>
      </c>
      <c r="P55" s="7">
        <v>46103</v>
      </c>
      <c r="Q55" s="7">
        <v>46124</v>
      </c>
      <c r="R55" s="7">
        <v>46131</v>
      </c>
      <c r="S55" s="7">
        <v>46138</v>
      </c>
      <c r="T55" s="4"/>
      <c r="U55" s="4"/>
      <c r="V55" s="4"/>
      <c r="W55" s="4"/>
      <c r="X55" s="4"/>
      <c r="Y55" s="4"/>
      <c r="Z55" s="10" cm="1">
        <f t="array" ref="Z55">LOOKUP(2,1/(A55:Y55&lt;&gt;""),A55:Y55)</f>
        <v>46138</v>
      </c>
      <c r="AA55" s="8" t="str">
        <f t="shared" si="0"/>
        <v>אפריל</v>
      </c>
    </row>
    <row r="56" spans="1:27" s="5" customFormat="1" ht="25.1" customHeight="1">
      <c r="A56" s="8" t="s">
        <v>81</v>
      </c>
      <c r="B56" s="8" t="s">
        <v>32</v>
      </c>
      <c r="C56" s="15" t="s">
        <v>139</v>
      </c>
      <c r="D56" s="8" t="s">
        <v>85</v>
      </c>
      <c r="E56" s="8" t="s">
        <v>66</v>
      </c>
      <c r="F56" s="8" t="s">
        <v>87</v>
      </c>
      <c r="G56" s="8" t="s">
        <v>68</v>
      </c>
      <c r="H56" s="11">
        <v>0.57291666666666663</v>
      </c>
      <c r="I56" s="11">
        <v>0.63541666666666663</v>
      </c>
      <c r="J56" s="10">
        <v>46061</v>
      </c>
      <c r="K56" s="10">
        <v>46068</v>
      </c>
      <c r="L56" s="10">
        <v>46075</v>
      </c>
      <c r="M56" s="10">
        <v>46082</v>
      </c>
      <c r="N56" s="10">
        <v>46089</v>
      </c>
      <c r="O56" s="7">
        <v>46096</v>
      </c>
      <c r="P56" s="7">
        <v>46103</v>
      </c>
      <c r="Q56" s="7">
        <v>46124</v>
      </c>
      <c r="R56" s="7">
        <v>46131</v>
      </c>
      <c r="S56" s="7">
        <v>46138</v>
      </c>
      <c r="T56" s="4"/>
      <c r="U56" s="4"/>
      <c r="V56" s="4"/>
      <c r="W56" s="4"/>
      <c r="X56" s="4"/>
      <c r="Y56" s="4"/>
      <c r="Z56" s="10" cm="1">
        <f t="array" ref="Z56">LOOKUP(2,1/(A56:Y56&lt;&gt;""),A56:Y56)</f>
        <v>46138</v>
      </c>
      <c r="AA56" s="8" t="str">
        <f t="shared" si="0"/>
        <v>אפריל</v>
      </c>
    </row>
    <row r="57" spans="1:27" s="5" customFormat="1" ht="25.1" customHeight="1">
      <c r="A57" s="8" t="s">
        <v>81</v>
      </c>
      <c r="B57" s="8" t="s">
        <v>47</v>
      </c>
      <c r="C57" s="15" t="s">
        <v>139</v>
      </c>
      <c r="D57" s="8" t="s">
        <v>88</v>
      </c>
      <c r="E57" s="8" t="s">
        <v>66</v>
      </c>
      <c r="F57" s="8" t="s">
        <v>89</v>
      </c>
      <c r="G57" s="8" t="s">
        <v>50</v>
      </c>
      <c r="H57" s="11">
        <v>0.36805555555555558</v>
      </c>
      <c r="I57" s="11">
        <v>0.45833333333333331</v>
      </c>
      <c r="J57" s="10">
        <v>46062</v>
      </c>
      <c r="K57" s="10">
        <v>46069</v>
      </c>
      <c r="L57" s="10">
        <v>46076</v>
      </c>
      <c r="M57" s="10">
        <v>46083</v>
      </c>
      <c r="N57" s="10">
        <v>46090</v>
      </c>
      <c r="O57" s="7">
        <v>46097</v>
      </c>
      <c r="P57" s="7">
        <v>46104</v>
      </c>
      <c r="Q57" s="7">
        <v>46125</v>
      </c>
      <c r="R57" s="4"/>
      <c r="S57" s="4"/>
      <c r="T57" s="4"/>
      <c r="U57" s="4"/>
      <c r="V57" s="4"/>
      <c r="W57" s="4"/>
      <c r="X57" s="4"/>
      <c r="Y57" s="4"/>
      <c r="Z57" s="10" cm="1">
        <f t="array" ref="Z57">LOOKUP(2,1/(A57:Y57&lt;&gt;""),A57:Y57)</f>
        <v>46125</v>
      </c>
      <c r="AA57" s="8" t="str">
        <f t="shared" si="0"/>
        <v>אפריל</v>
      </c>
    </row>
    <row r="58" spans="1:27" s="5" customFormat="1" ht="25.1" customHeight="1">
      <c r="A58" s="8" t="s">
        <v>81</v>
      </c>
      <c r="B58" s="8" t="s">
        <v>47</v>
      </c>
      <c r="C58" s="15" t="s">
        <v>139</v>
      </c>
      <c r="D58" s="8" t="s">
        <v>90</v>
      </c>
      <c r="E58" s="8" t="s">
        <v>66</v>
      </c>
      <c r="F58" s="8" t="s">
        <v>91</v>
      </c>
      <c r="G58" s="8" t="s">
        <v>50</v>
      </c>
      <c r="H58" s="11">
        <v>0.59375</v>
      </c>
      <c r="I58" s="11">
        <v>0.64583333333333337</v>
      </c>
      <c r="J58" s="10">
        <v>46062</v>
      </c>
      <c r="K58" s="10">
        <v>46069</v>
      </c>
      <c r="L58" s="10">
        <v>46076</v>
      </c>
      <c r="M58" s="10">
        <v>46083</v>
      </c>
      <c r="N58" s="10">
        <v>46090</v>
      </c>
      <c r="O58" s="7">
        <v>46097</v>
      </c>
      <c r="P58" s="7">
        <v>46104</v>
      </c>
      <c r="Q58" s="7">
        <v>46125</v>
      </c>
      <c r="R58" s="4"/>
      <c r="S58" s="4"/>
      <c r="T58" s="4"/>
      <c r="U58" s="4"/>
      <c r="V58" s="4"/>
      <c r="W58" s="4"/>
      <c r="X58" s="4"/>
      <c r="Y58" s="4"/>
      <c r="Z58" s="10" cm="1">
        <f t="array" ref="Z58">LOOKUP(2,1/(A58:Y58&lt;&gt;""),A58:Y58)</f>
        <v>46125</v>
      </c>
      <c r="AA58" s="8" t="str">
        <f t="shared" si="0"/>
        <v>אפריל</v>
      </c>
    </row>
    <row r="59" spans="1:27" s="5" customFormat="1" ht="25.1" customHeight="1">
      <c r="A59" s="8" t="s">
        <v>64</v>
      </c>
      <c r="B59" s="8" t="s">
        <v>70</v>
      </c>
      <c r="C59" s="15" t="s">
        <v>139</v>
      </c>
      <c r="D59" s="8" t="s">
        <v>92</v>
      </c>
      <c r="E59" s="8" t="s">
        <v>66</v>
      </c>
      <c r="F59" s="8" t="s">
        <v>93</v>
      </c>
      <c r="G59" s="8" t="s">
        <v>50</v>
      </c>
      <c r="H59" s="11">
        <v>0.34027777777777779</v>
      </c>
      <c r="I59" s="11">
        <v>0.40625</v>
      </c>
      <c r="J59" s="10">
        <v>45971</v>
      </c>
      <c r="K59" s="10">
        <v>45978</v>
      </c>
      <c r="L59" s="10">
        <v>45992</v>
      </c>
      <c r="M59" s="10">
        <v>46006</v>
      </c>
      <c r="N59" s="10">
        <v>46020</v>
      </c>
      <c r="O59" s="7">
        <v>46034</v>
      </c>
      <c r="P59" s="7">
        <v>46048</v>
      </c>
      <c r="Q59" s="7">
        <v>46062</v>
      </c>
      <c r="R59" s="7">
        <v>46076</v>
      </c>
      <c r="S59" s="7">
        <v>46090</v>
      </c>
      <c r="T59" s="7">
        <v>46104</v>
      </c>
      <c r="U59" s="7">
        <v>46132</v>
      </c>
      <c r="V59" s="4"/>
      <c r="W59" s="4"/>
      <c r="X59" s="4"/>
      <c r="Y59" s="4"/>
      <c r="Z59" s="10" cm="1">
        <f t="array" ref="Z59">LOOKUP(2,1/(A59:Y59&lt;&gt;""),A59:Y59)</f>
        <v>46132</v>
      </c>
      <c r="AA59" s="8" t="str">
        <f t="shared" si="0"/>
        <v>אפריל</v>
      </c>
    </row>
    <row r="60" spans="1:27" s="5" customFormat="1" ht="25.1" customHeight="1">
      <c r="A60" s="8" t="s">
        <v>64</v>
      </c>
      <c r="B60" s="8" t="s">
        <v>70</v>
      </c>
      <c r="C60" s="15" t="s">
        <v>139</v>
      </c>
      <c r="D60" s="8" t="s">
        <v>65</v>
      </c>
      <c r="E60" s="8" t="s">
        <v>66</v>
      </c>
      <c r="F60" s="8" t="s">
        <v>94</v>
      </c>
      <c r="G60" s="8" t="s">
        <v>45</v>
      </c>
      <c r="H60" s="11">
        <v>0.51041666666666663</v>
      </c>
      <c r="I60" s="11">
        <v>0.56597222222222221</v>
      </c>
      <c r="J60" s="10">
        <v>45972</v>
      </c>
      <c r="K60" s="10">
        <v>45979</v>
      </c>
      <c r="L60" s="10">
        <v>45986</v>
      </c>
      <c r="M60" s="10">
        <v>45993</v>
      </c>
      <c r="N60" s="10">
        <v>46000</v>
      </c>
      <c r="O60" s="7">
        <v>46014</v>
      </c>
      <c r="P60" s="7">
        <v>46021</v>
      </c>
      <c r="Q60" s="7">
        <v>46028</v>
      </c>
      <c r="R60" s="7">
        <v>46035</v>
      </c>
      <c r="S60" s="7">
        <v>46042</v>
      </c>
      <c r="T60" s="7">
        <v>46049</v>
      </c>
      <c r="U60" s="7">
        <v>46056</v>
      </c>
      <c r="V60" s="7">
        <v>46063</v>
      </c>
      <c r="W60" s="7">
        <v>46070</v>
      </c>
      <c r="X60" s="7">
        <v>46077</v>
      </c>
      <c r="Y60" s="7">
        <v>46091</v>
      </c>
      <c r="Z60" s="10" cm="1">
        <f t="array" ref="Z60">LOOKUP(2,1/(A60:Y60&lt;&gt;""),A60:Y60)</f>
        <v>46091</v>
      </c>
      <c r="AA60" s="8" t="str">
        <f t="shared" si="0"/>
        <v>מרץ</v>
      </c>
    </row>
    <row r="61" spans="1:27" s="5" customFormat="1" ht="25.1" customHeight="1">
      <c r="A61" s="8" t="s">
        <v>95</v>
      </c>
      <c r="B61" s="8" t="s">
        <v>78</v>
      </c>
      <c r="C61" s="15" t="s">
        <v>139</v>
      </c>
      <c r="D61" s="8" t="s">
        <v>96</v>
      </c>
      <c r="E61" s="8" t="s">
        <v>66</v>
      </c>
      <c r="F61" s="8" t="s">
        <v>97</v>
      </c>
      <c r="G61" s="8" t="s">
        <v>50</v>
      </c>
      <c r="H61" s="11">
        <v>0.33333333333333331</v>
      </c>
      <c r="I61" s="11">
        <v>0.41666666666666669</v>
      </c>
      <c r="J61" s="10">
        <v>45974</v>
      </c>
      <c r="K61" s="10">
        <v>45988</v>
      </c>
      <c r="L61" s="10">
        <v>46030</v>
      </c>
      <c r="M61" s="7">
        <v>46044</v>
      </c>
      <c r="N61" s="7">
        <v>46062</v>
      </c>
      <c r="O61" s="7">
        <v>46083</v>
      </c>
      <c r="P61" s="7">
        <v>46097</v>
      </c>
      <c r="Q61" s="7">
        <v>46125</v>
      </c>
      <c r="R61" s="7">
        <v>46146</v>
      </c>
      <c r="S61" s="7">
        <v>46160</v>
      </c>
      <c r="T61" s="7">
        <v>46174</v>
      </c>
      <c r="U61" s="7">
        <v>46188</v>
      </c>
      <c r="V61" s="7"/>
      <c r="W61" s="7"/>
      <c r="X61" s="4"/>
      <c r="Y61" s="4"/>
      <c r="Z61" s="10" cm="1">
        <f t="array" ref="Z61">LOOKUP(2,1/(A61:Y61&lt;&gt;""),A61:Y61)</f>
        <v>46188</v>
      </c>
      <c r="AA61" s="8" t="str">
        <f t="shared" si="0"/>
        <v>יוני</v>
      </c>
    </row>
    <row r="62" spans="1:27" s="5" customFormat="1" ht="25.1" customHeight="1">
      <c r="A62" s="8" t="s">
        <v>95</v>
      </c>
      <c r="B62" s="8" t="s">
        <v>78</v>
      </c>
      <c r="C62" s="15" t="s">
        <v>139</v>
      </c>
      <c r="D62" s="8" t="s">
        <v>96</v>
      </c>
      <c r="E62" s="8" t="s">
        <v>66</v>
      </c>
      <c r="F62" s="8" t="s">
        <v>97</v>
      </c>
      <c r="G62" s="8" t="s">
        <v>50</v>
      </c>
      <c r="H62" s="11">
        <v>0.33333333333333331</v>
      </c>
      <c r="I62" s="11">
        <v>0.41666666666666669</v>
      </c>
      <c r="J62" s="10">
        <v>45974</v>
      </c>
      <c r="K62" s="10">
        <v>45988</v>
      </c>
      <c r="L62" s="10">
        <v>46030</v>
      </c>
      <c r="M62" s="7">
        <v>46044</v>
      </c>
      <c r="N62" s="7">
        <v>46076</v>
      </c>
      <c r="O62" s="7">
        <v>46090</v>
      </c>
      <c r="P62" s="7">
        <v>46104</v>
      </c>
      <c r="Q62" s="7">
        <v>46139</v>
      </c>
      <c r="R62" s="7">
        <v>46153</v>
      </c>
      <c r="S62" s="7">
        <v>46167</v>
      </c>
      <c r="T62" s="7">
        <v>46181</v>
      </c>
      <c r="U62" s="7">
        <v>46195</v>
      </c>
      <c r="V62" s="7"/>
      <c r="W62" s="7"/>
      <c r="X62" s="4"/>
      <c r="Y62" s="4"/>
      <c r="Z62" s="10" cm="1">
        <f t="array" ref="Z62">LOOKUP(2,1/(A62:Y62&lt;&gt;""),A62:Y62)</f>
        <v>46195</v>
      </c>
      <c r="AA62" s="8" t="str">
        <f t="shared" si="0"/>
        <v>יוני</v>
      </c>
    </row>
    <row r="63" spans="1:27" s="5" customFormat="1" ht="25.1" customHeight="1">
      <c r="A63" s="8" t="s">
        <v>98</v>
      </c>
      <c r="B63" s="8" t="s">
        <v>32</v>
      </c>
      <c r="C63" s="15" t="s">
        <v>139</v>
      </c>
      <c r="D63" s="8" t="s">
        <v>99</v>
      </c>
      <c r="E63" s="8" t="s">
        <v>66</v>
      </c>
      <c r="F63" s="8" t="s">
        <v>100</v>
      </c>
      <c r="G63" s="8" t="s">
        <v>68</v>
      </c>
      <c r="H63" s="11">
        <v>0.33333333333333331</v>
      </c>
      <c r="I63" s="11">
        <v>0.375</v>
      </c>
      <c r="J63" s="10">
        <v>45914</v>
      </c>
      <c r="K63" s="10">
        <v>45921</v>
      </c>
      <c r="L63" s="10">
        <v>45984</v>
      </c>
      <c r="M63" s="10">
        <v>45991</v>
      </c>
      <c r="N63" s="10">
        <v>45998</v>
      </c>
      <c r="O63" s="7">
        <v>46005</v>
      </c>
      <c r="P63" s="7">
        <v>46019</v>
      </c>
      <c r="Q63" s="7">
        <v>46026</v>
      </c>
      <c r="R63" s="7">
        <v>46033</v>
      </c>
      <c r="S63" s="7">
        <v>46040</v>
      </c>
      <c r="T63" s="7">
        <v>46047</v>
      </c>
      <c r="U63" s="7">
        <v>46054</v>
      </c>
      <c r="V63" s="7">
        <v>46061</v>
      </c>
      <c r="W63" s="7">
        <v>46068</v>
      </c>
      <c r="X63" s="7">
        <v>46075</v>
      </c>
      <c r="Y63" s="7">
        <v>46082</v>
      </c>
      <c r="Z63" s="10" cm="1">
        <f t="array" ref="Z63">LOOKUP(2,1/(A63:Y63&lt;&gt;""),A63:Y63)</f>
        <v>46082</v>
      </c>
      <c r="AA63" s="8" t="str">
        <f t="shared" si="0"/>
        <v>מרץ</v>
      </c>
    </row>
    <row r="64" spans="1:27" s="5" customFormat="1" ht="25.1" customHeight="1">
      <c r="A64" s="8" t="s">
        <v>98</v>
      </c>
      <c r="B64" s="8" t="s">
        <v>32</v>
      </c>
      <c r="C64" s="15" t="s">
        <v>139</v>
      </c>
      <c r="D64" s="8" t="s">
        <v>99</v>
      </c>
      <c r="E64" s="8" t="s">
        <v>66</v>
      </c>
      <c r="F64" s="8" t="s">
        <v>100</v>
      </c>
      <c r="G64" s="8" t="s">
        <v>68</v>
      </c>
      <c r="H64" s="11">
        <v>0.375</v>
      </c>
      <c r="I64" s="11">
        <v>0.41666666666666669</v>
      </c>
      <c r="J64" s="10">
        <v>45914</v>
      </c>
      <c r="K64" s="10">
        <v>45921</v>
      </c>
      <c r="L64" s="10">
        <v>45984</v>
      </c>
      <c r="M64" s="10">
        <v>45991</v>
      </c>
      <c r="N64" s="10">
        <v>45998</v>
      </c>
      <c r="O64" s="7">
        <v>46005</v>
      </c>
      <c r="P64" s="7">
        <v>46019</v>
      </c>
      <c r="Q64" s="7">
        <v>46026</v>
      </c>
      <c r="R64" s="7">
        <v>46033</v>
      </c>
      <c r="S64" s="7">
        <v>46040</v>
      </c>
      <c r="T64" s="7">
        <v>46047</v>
      </c>
      <c r="U64" s="7">
        <v>46054</v>
      </c>
      <c r="V64" s="7">
        <v>46061</v>
      </c>
      <c r="W64" s="7">
        <v>46068</v>
      </c>
      <c r="X64" s="7">
        <v>46075</v>
      </c>
      <c r="Y64" s="7">
        <v>46082</v>
      </c>
      <c r="Z64" s="10" cm="1">
        <f t="array" ref="Z64">LOOKUP(2,1/(A64:Y64&lt;&gt;""),A64:Y64)</f>
        <v>46082</v>
      </c>
      <c r="AA64" s="8" t="str">
        <f t="shared" si="0"/>
        <v>מרץ</v>
      </c>
    </row>
    <row r="65" spans="1:27" s="5" customFormat="1" ht="25.1" customHeight="1">
      <c r="A65" s="8" t="s">
        <v>98</v>
      </c>
      <c r="B65" s="8" t="s">
        <v>32</v>
      </c>
      <c r="C65" s="15" t="s">
        <v>139</v>
      </c>
      <c r="D65" s="8" t="s">
        <v>99</v>
      </c>
      <c r="E65" s="8" t="s">
        <v>66</v>
      </c>
      <c r="F65" s="8" t="s">
        <v>100</v>
      </c>
      <c r="G65" s="8" t="s">
        <v>68</v>
      </c>
      <c r="H65" s="11">
        <v>0.41666666666666669</v>
      </c>
      <c r="I65" s="11">
        <v>0.45833333333333331</v>
      </c>
      <c r="J65" s="10">
        <v>45914</v>
      </c>
      <c r="K65" s="10">
        <v>45921</v>
      </c>
      <c r="L65" s="10">
        <v>45984</v>
      </c>
      <c r="M65" s="10">
        <v>45991</v>
      </c>
      <c r="N65" s="10">
        <v>45998</v>
      </c>
      <c r="O65" s="7">
        <v>46005</v>
      </c>
      <c r="P65" s="7">
        <v>46019</v>
      </c>
      <c r="Q65" s="7">
        <v>46026</v>
      </c>
      <c r="R65" s="7">
        <v>46033</v>
      </c>
      <c r="S65" s="7">
        <v>46040</v>
      </c>
      <c r="T65" s="7">
        <v>46047</v>
      </c>
      <c r="U65" s="7">
        <v>46054</v>
      </c>
      <c r="V65" s="7">
        <v>46061</v>
      </c>
      <c r="W65" s="7">
        <v>46068</v>
      </c>
      <c r="X65" s="7">
        <v>46075</v>
      </c>
      <c r="Y65" s="7">
        <v>46082</v>
      </c>
      <c r="Z65" s="10" cm="1">
        <f t="array" ref="Z65">LOOKUP(2,1/(A65:Y65&lt;&gt;""),A65:Y65)</f>
        <v>46082</v>
      </c>
      <c r="AA65" s="8" t="str">
        <f t="shared" si="0"/>
        <v>מרץ</v>
      </c>
    </row>
    <row r="66" spans="1:27" s="5" customFormat="1" ht="25.1" customHeight="1">
      <c r="A66" s="8" t="s">
        <v>69</v>
      </c>
      <c r="B66" s="8" t="s">
        <v>70</v>
      </c>
      <c r="C66" s="15" t="s">
        <v>139</v>
      </c>
      <c r="D66" s="8" t="s">
        <v>101</v>
      </c>
      <c r="E66" s="8" t="s">
        <v>66</v>
      </c>
      <c r="F66" s="8" t="s">
        <v>102</v>
      </c>
      <c r="G66" s="8" t="s">
        <v>40</v>
      </c>
      <c r="H66" s="11">
        <v>0.54166666666666663</v>
      </c>
      <c r="I66" s="11">
        <v>0.60416666666666663</v>
      </c>
      <c r="J66" s="10">
        <v>46071</v>
      </c>
      <c r="K66" s="10">
        <v>46078</v>
      </c>
      <c r="L66" s="10">
        <v>46092</v>
      </c>
      <c r="M66" s="10">
        <v>46099</v>
      </c>
      <c r="N66" s="10">
        <v>46127</v>
      </c>
      <c r="O66" s="7">
        <v>46141</v>
      </c>
      <c r="P66" s="7">
        <v>46148</v>
      </c>
      <c r="Q66" s="7">
        <v>46155</v>
      </c>
      <c r="R66" s="7">
        <v>46162</v>
      </c>
      <c r="S66" s="7">
        <v>46169</v>
      </c>
      <c r="T66" s="7">
        <v>46176</v>
      </c>
      <c r="U66" s="7">
        <v>46183</v>
      </c>
      <c r="V66" s="7">
        <v>46190</v>
      </c>
      <c r="W66" s="7">
        <v>46197</v>
      </c>
      <c r="X66" s="4"/>
      <c r="Y66" s="4"/>
      <c r="Z66" s="10" cm="1">
        <f t="array" ref="Z66">LOOKUP(2,1/(A66:Y66&lt;&gt;""),A66:Y66)</f>
        <v>46197</v>
      </c>
      <c r="AA66" s="8" t="str">
        <f t="shared" si="0"/>
        <v>יוני</v>
      </c>
    </row>
    <row r="67" spans="1:27" s="5" customFormat="1" ht="25.1" customHeight="1">
      <c r="A67" s="8" t="s">
        <v>103</v>
      </c>
      <c r="B67" s="8" t="s">
        <v>32</v>
      </c>
      <c r="C67" s="15" t="s">
        <v>139</v>
      </c>
      <c r="D67" s="8" t="s">
        <v>104</v>
      </c>
      <c r="E67" s="8" t="s">
        <v>34</v>
      </c>
      <c r="F67" s="8" t="s">
        <v>105</v>
      </c>
      <c r="G67" s="8" t="s">
        <v>45</v>
      </c>
      <c r="H67" s="11">
        <v>0.33333333333333331</v>
      </c>
      <c r="I67" s="11">
        <v>0.41666666666666669</v>
      </c>
      <c r="J67" s="10">
        <v>45951</v>
      </c>
      <c r="K67" s="10">
        <v>45972</v>
      </c>
      <c r="L67" s="10">
        <v>45993</v>
      </c>
      <c r="M67" s="10">
        <v>46014</v>
      </c>
      <c r="N67" s="10">
        <v>46035</v>
      </c>
      <c r="O67" s="7">
        <v>46056</v>
      </c>
      <c r="P67" s="7">
        <v>46077</v>
      </c>
      <c r="Q67" s="7">
        <v>46098</v>
      </c>
      <c r="R67" s="7">
        <v>46140</v>
      </c>
      <c r="S67" s="7">
        <v>46161</v>
      </c>
      <c r="T67" s="4"/>
      <c r="U67" s="4"/>
      <c r="V67" s="4"/>
      <c r="W67" s="4"/>
      <c r="X67" s="4"/>
      <c r="Y67" s="4"/>
      <c r="Z67" s="10" cm="1">
        <f t="array" ref="Z67">LOOKUP(2,1/(A67:Y67&lt;&gt;""),A67:Y67)</f>
        <v>46161</v>
      </c>
      <c r="AA67" s="8" t="str">
        <f t="shared" ref="AA67:AA90" si="1">TEXT(Z67,"[$-he-IL]mmmm")</f>
        <v>מאי</v>
      </c>
    </row>
    <row r="68" spans="1:27" s="5" customFormat="1" ht="25.1" customHeight="1">
      <c r="A68" s="8" t="s">
        <v>103</v>
      </c>
      <c r="B68" s="8" t="s">
        <v>32</v>
      </c>
      <c r="C68" s="15" t="s">
        <v>139</v>
      </c>
      <c r="D68" s="8" t="s">
        <v>104</v>
      </c>
      <c r="E68" s="8" t="s">
        <v>34</v>
      </c>
      <c r="F68" s="8" t="s">
        <v>105</v>
      </c>
      <c r="G68" s="8" t="s">
        <v>40</v>
      </c>
      <c r="H68" s="11">
        <v>0.33333333333333331</v>
      </c>
      <c r="I68" s="11">
        <v>0.41666666666666669</v>
      </c>
      <c r="J68" s="10">
        <v>45952</v>
      </c>
      <c r="K68" s="10">
        <v>45973</v>
      </c>
      <c r="L68" s="10">
        <v>45994</v>
      </c>
      <c r="M68" s="10">
        <v>46015</v>
      </c>
      <c r="N68" s="10">
        <v>46036</v>
      </c>
      <c r="O68" s="7">
        <v>46057</v>
      </c>
      <c r="P68" s="7">
        <v>46078</v>
      </c>
      <c r="Q68" s="7">
        <v>46099</v>
      </c>
      <c r="R68" s="7">
        <v>46141</v>
      </c>
      <c r="S68" s="7">
        <v>46162</v>
      </c>
      <c r="T68" s="4"/>
      <c r="U68" s="4"/>
      <c r="V68" s="4"/>
      <c r="W68" s="4"/>
      <c r="X68" s="4"/>
      <c r="Y68" s="4"/>
      <c r="Z68" s="10" cm="1">
        <f t="array" ref="Z68">LOOKUP(2,1/(A68:Y68&lt;&gt;""),A68:Y68)</f>
        <v>46162</v>
      </c>
      <c r="AA68" s="8" t="str">
        <f t="shared" si="1"/>
        <v>מאי</v>
      </c>
    </row>
    <row r="69" spans="1:27" s="5" customFormat="1" ht="25.1" customHeight="1">
      <c r="A69" s="8" t="s">
        <v>103</v>
      </c>
      <c r="B69" s="8" t="s">
        <v>32</v>
      </c>
      <c r="C69" s="15" t="s">
        <v>139</v>
      </c>
      <c r="D69" s="8" t="s">
        <v>104</v>
      </c>
      <c r="E69" s="8" t="s">
        <v>34</v>
      </c>
      <c r="F69" s="8" t="s">
        <v>105</v>
      </c>
      <c r="G69" s="8" t="s">
        <v>40</v>
      </c>
      <c r="H69" s="11">
        <v>0.41666666666666669</v>
      </c>
      <c r="I69" s="11">
        <v>0.5</v>
      </c>
      <c r="J69" s="10">
        <v>45952</v>
      </c>
      <c r="K69" s="10">
        <v>45973</v>
      </c>
      <c r="L69" s="10">
        <v>45994</v>
      </c>
      <c r="M69" s="10">
        <v>46015</v>
      </c>
      <c r="N69" s="10">
        <v>46036</v>
      </c>
      <c r="O69" s="7">
        <v>46057</v>
      </c>
      <c r="P69" s="7">
        <v>46078</v>
      </c>
      <c r="Q69" s="7">
        <v>46099</v>
      </c>
      <c r="R69" s="7">
        <v>46141</v>
      </c>
      <c r="S69" s="7">
        <v>46162</v>
      </c>
      <c r="T69" s="4"/>
      <c r="U69" s="4"/>
      <c r="V69" s="4"/>
      <c r="W69" s="4"/>
      <c r="X69" s="4"/>
      <c r="Y69" s="4"/>
      <c r="Z69" s="10" cm="1">
        <f t="array" ref="Z69">LOOKUP(2,1/(A69:Y69&lt;&gt;""),A69:Y69)</f>
        <v>46162</v>
      </c>
      <c r="AA69" s="8" t="str">
        <f t="shared" si="1"/>
        <v>מאי</v>
      </c>
    </row>
    <row r="70" spans="1:27" s="5" customFormat="1" ht="25.1" customHeight="1">
      <c r="A70" s="8" t="s">
        <v>106</v>
      </c>
      <c r="B70" s="8" t="s">
        <v>70</v>
      </c>
      <c r="C70" s="15" t="s">
        <v>139</v>
      </c>
      <c r="D70" s="8" t="s">
        <v>107</v>
      </c>
      <c r="E70" s="8" t="s">
        <v>34</v>
      </c>
      <c r="F70" s="8" t="s">
        <v>108</v>
      </c>
      <c r="G70" s="8" t="s">
        <v>45</v>
      </c>
      <c r="H70" s="11">
        <v>0.34375</v>
      </c>
      <c r="I70" s="11">
        <v>0.40625</v>
      </c>
      <c r="J70" s="10">
        <v>45986</v>
      </c>
      <c r="K70" s="10">
        <v>45993</v>
      </c>
      <c r="L70" s="10">
        <v>46000</v>
      </c>
      <c r="M70" s="10">
        <v>46014</v>
      </c>
      <c r="N70" s="10">
        <v>46021</v>
      </c>
      <c r="O70" s="7">
        <v>46028</v>
      </c>
      <c r="P70" s="7">
        <v>46035</v>
      </c>
      <c r="Q70" s="7">
        <v>46042</v>
      </c>
      <c r="R70" s="7">
        <v>46049</v>
      </c>
      <c r="S70" s="7">
        <v>46056</v>
      </c>
      <c r="T70" s="7">
        <v>46063</v>
      </c>
      <c r="U70" s="7">
        <v>46070</v>
      </c>
      <c r="V70" s="7">
        <v>46077</v>
      </c>
      <c r="W70" s="7">
        <v>46091</v>
      </c>
      <c r="X70" s="4"/>
      <c r="Y70" s="4"/>
      <c r="Z70" s="10" cm="1">
        <f t="array" ref="Z70">LOOKUP(2,1/(A70:Y70&lt;&gt;""),A70:Y70)</f>
        <v>46091</v>
      </c>
      <c r="AA70" s="8" t="str">
        <f t="shared" si="1"/>
        <v>מרץ</v>
      </c>
    </row>
    <row r="71" spans="1:27" s="5" customFormat="1" ht="25.1" customHeight="1">
      <c r="A71" s="8" t="s">
        <v>64</v>
      </c>
      <c r="B71" s="8" t="s">
        <v>109</v>
      </c>
      <c r="C71" s="15" t="s">
        <v>139</v>
      </c>
      <c r="D71" s="8" t="s">
        <v>92</v>
      </c>
      <c r="E71" s="8" t="s">
        <v>66</v>
      </c>
      <c r="F71" s="8" t="s">
        <v>110</v>
      </c>
      <c r="G71" s="8" t="s">
        <v>45</v>
      </c>
      <c r="H71" s="11">
        <v>0.42708333333333331</v>
      </c>
      <c r="I71" s="11">
        <v>0.48958333333333331</v>
      </c>
      <c r="J71" s="10">
        <v>45986</v>
      </c>
      <c r="K71" s="10">
        <v>46000</v>
      </c>
      <c r="L71" s="10">
        <v>46014</v>
      </c>
      <c r="M71" s="10">
        <v>46016</v>
      </c>
      <c r="N71" s="10">
        <v>46021</v>
      </c>
      <c r="O71" s="7">
        <v>46042</v>
      </c>
      <c r="P71" s="7">
        <v>46049</v>
      </c>
      <c r="Q71" s="7">
        <v>46063</v>
      </c>
      <c r="R71" s="7">
        <v>46077</v>
      </c>
      <c r="S71" s="7">
        <v>46091</v>
      </c>
      <c r="T71" s="7">
        <v>46105</v>
      </c>
      <c r="U71" s="4"/>
      <c r="V71" s="4"/>
      <c r="W71" s="4"/>
      <c r="X71" s="4"/>
      <c r="Y71" s="4"/>
      <c r="Z71" s="10" cm="1">
        <f t="array" ref="Z71">LOOKUP(2,1/(A71:Y71&lt;&gt;""),A71:Y71)</f>
        <v>46105</v>
      </c>
      <c r="AA71" s="8" t="str">
        <f t="shared" si="1"/>
        <v>מרץ</v>
      </c>
    </row>
    <row r="72" spans="1:27" s="5" customFormat="1" ht="25.1" customHeight="1">
      <c r="A72" s="8" t="s">
        <v>64</v>
      </c>
      <c r="B72" s="8" t="s">
        <v>32</v>
      </c>
      <c r="C72" s="15" t="s">
        <v>139</v>
      </c>
      <c r="D72" s="8" t="s">
        <v>73</v>
      </c>
      <c r="E72" s="8" t="s">
        <v>66</v>
      </c>
      <c r="F72" s="8" t="s">
        <v>74</v>
      </c>
      <c r="G72" s="8" t="s">
        <v>36</v>
      </c>
      <c r="H72" s="11">
        <v>0.4375</v>
      </c>
      <c r="I72" s="11">
        <v>0.5</v>
      </c>
      <c r="J72" s="10">
        <v>46016</v>
      </c>
      <c r="K72" s="10">
        <v>46023</v>
      </c>
      <c r="L72" s="10">
        <v>46030</v>
      </c>
      <c r="M72" s="10">
        <v>46037</v>
      </c>
      <c r="N72" s="10">
        <v>46044</v>
      </c>
      <c r="O72" s="7">
        <v>46051</v>
      </c>
      <c r="P72" s="7">
        <v>46058</v>
      </c>
      <c r="Q72" s="7">
        <v>46065</v>
      </c>
      <c r="R72" s="7">
        <v>46072</v>
      </c>
      <c r="S72" s="7">
        <v>46079</v>
      </c>
      <c r="T72" s="4"/>
      <c r="U72" s="4"/>
      <c r="V72" s="4"/>
      <c r="W72" s="4"/>
      <c r="X72" s="4"/>
      <c r="Y72" s="4"/>
      <c r="Z72" s="10" cm="1">
        <f t="array" ref="Z72">LOOKUP(2,1/(A72:Y72&lt;&gt;""),A72:Y72)</f>
        <v>46079</v>
      </c>
      <c r="AA72" s="8" t="str">
        <f t="shared" si="1"/>
        <v>פברואר</v>
      </c>
    </row>
    <row r="73" spans="1:27" s="5" customFormat="1" ht="25.1" customHeight="1">
      <c r="A73" s="8" t="s">
        <v>111</v>
      </c>
      <c r="B73" s="8" t="s">
        <v>42</v>
      </c>
      <c r="C73" s="15" t="s">
        <v>139</v>
      </c>
      <c r="D73" s="8" t="s">
        <v>43</v>
      </c>
      <c r="E73" s="8" t="s">
        <v>34</v>
      </c>
      <c r="F73" s="8" t="s">
        <v>112</v>
      </c>
      <c r="G73" s="8" t="s">
        <v>68</v>
      </c>
      <c r="H73" s="11">
        <v>0.35416666666666669</v>
      </c>
      <c r="I73" s="11">
        <v>0.41666666666666669</v>
      </c>
      <c r="J73" s="10">
        <v>45991</v>
      </c>
      <c r="K73" s="10">
        <v>45998</v>
      </c>
      <c r="L73" s="10">
        <v>46005</v>
      </c>
      <c r="M73" s="10">
        <v>46019</v>
      </c>
      <c r="N73" s="10">
        <v>46026</v>
      </c>
      <c r="O73" s="7">
        <v>46033</v>
      </c>
      <c r="P73" s="7">
        <v>46040</v>
      </c>
      <c r="Q73" s="7">
        <v>46047</v>
      </c>
      <c r="R73" s="7">
        <v>46054</v>
      </c>
      <c r="S73" s="7">
        <v>46061</v>
      </c>
      <c r="T73" s="7">
        <v>46068</v>
      </c>
      <c r="U73" s="7">
        <v>46075</v>
      </c>
      <c r="V73" s="7">
        <v>46082</v>
      </c>
      <c r="W73" s="4"/>
      <c r="X73" s="4"/>
      <c r="Y73" s="4"/>
      <c r="Z73" s="10" cm="1">
        <f t="array" ref="Z73">LOOKUP(2,1/(A73:Y73&lt;&gt;""),A73:Y73)</f>
        <v>46082</v>
      </c>
      <c r="AA73" s="8" t="str">
        <f t="shared" si="1"/>
        <v>מרץ</v>
      </c>
    </row>
    <row r="74" spans="1:27" s="5" customFormat="1" ht="25.1" customHeight="1">
      <c r="A74" s="8" t="s">
        <v>111</v>
      </c>
      <c r="B74" s="8" t="s">
        <v>42</v>
      </c>
      <c r="C74" s="15" t="s">
        <v>139</v>
      </c>
      <c r="D74" s="8" t="s">
        <v>43</v>
      </c>
      <c r="E74" s="8" t="s">
        <v>34</v>
      </c>
      <c r="F74" s="8" t="s">
        <v>113</v>
      </c>
      <c r="G74" s="8" t="s">
        <v>68</v>
      </c>
      <c r="H74" s="11">
        <v>0.4375</v>
      </c>
      <c r="I74" s="11">
        <v>0.5</v>
      </c>
      <c r="J74" s="10">
        <v>45991</v>
      </c>
      <c r="K74" s="10">
        <v>45998</v>
      </c>
      <c r="L74" s="10">
        <v>46005</v>
      </c>
      <c r="M74" s="10">
        <v>46019</v>
      </c>
      <c r="N74" s="10">
        <v>46026</v>
      </c>
      <c r="O74" s="7">
        <v>46033</v>
      </c>
      <c r="P74" s="7">
        <v>46040</v>
      </c>
      <c r="Q74" s="7">
        <v>46047</v>
      </c>
      <c r="R74" s="7">
        <v>46054</v>
      </c>
      <c r="S74" s="7">
        <v>46061</v>
      </c>
      <c r="T74" s="7">
        <v>46068</v>
      </c>
      <c r="U74" s="7">
        <v>46075</v>
      </c>
      <c r="V74" s="7">
        <v>46082</v>
      </c>
      <c r="W74" s="4"/>
      <c r="X74" s="4"/>
      <c r="Y74" s="4"/>
      <c r="Z74" s="10" cm="1">
        <f t="array" ref="Z74">LOOKUP(2,1/(A74:Y74&lt;&gt;""),A74:Y74)</f>
        <v>46082</v>
      </c>
      <c r="AA74" s="8" t="str">
        <f t="shared" si="1"/>
        <v>מרץ</v>
      </c>
    </row>
    <row r="75" spans="1:27" s="5" customFormat="1" ht="25.1" customHeight="1">
      <c r="A75" s="8" t="s">
        <v>106</v>
      </c>
      <c r="B75" s="8" t="s">
        <v>32</v>
      </c>
      <c r="C75" s="15" t="s">
        <v>139</v>
      </c>
      <c r="D75" s="8" t="s">
        <v>114</v>
      </c>
      <c r="E75" s="8" t="s">
        <v>66</v>
      </c>
      <c r="F75" s="8" t="s">
        <v>115</v>
      </c>
      <c r="G75" s="8" t="s">
        <v>40</v>
      </c>
      <c r="H75" s="11">
        <v>0.33333333333333331</v>
      </c>
      <c r="I75" s="11">
        <v>0.41666666666666669</v>
      </c>
      <c r="J75" s="10">
        <v>46022</v>
      </c>
      <c r="K75" s="10">
        <v>46029</v>
      </c>
      <c r="L75" s="10">
        <v>46036</v>
      </c>
      <c r="M75" s="10">
        <v>46043</v>
      </c>
      <c r="N75" s="10">
        <v>46050</v>
      </c>
      <c r="O75" s="7">
        <v>46057</v>
      </c>
      <c r="P75" s="7">
        <v>46064</v>
      </c>
      <c r="Q75" s="7">
        <v>46071</v>
      </c>
      <c r="R75" s="7">
        <v>46078</v>
      </c>
      <c r="S75" s="7">
        <v>46092</v>
      </c>
      <c r="T75" s="7">
        <v>46099</v>
      </c>
      <c r="U75" s="4"/>
      <c r="V75" s="4"/>
      <c r="W75" s="4"/>
      <c r="X75" s="4"/>
      <c r="Y75" s="4"/>
      <c r="Z75" s="10" cm="1">
        <f t="array" ref="Z75">LOOKUP(2,1/(A75:Y75&lt;&gt;""),A75:Y75)</f>
        <v>46099</v>
      </c>
      <c r="AA75" s="8" t="str">
        <f t="shared" si="1"/>
        <v>מרץ</v>
      </c>
    </row>
    <row r="76" spans="1:27" s="5" customFormat="1" ht="25.1" customHeight="1">
      <c r="A76" s="8" t="s">
        <v>106</v>
      </c>
      <c r="B76" s="8" t="s">
        <v>32</v>
      </c>
      <c r="C76" s="15" t="s">
        <v>139</v>
      </c>
      <c r="D76" s="8" t="s">
        <v>114</v>
      </c>
      <c r="E76" s="8" t="s">
        <v>66</v>
      </c>
      <c r="F76" s="8" t="s">
        <v>115</v>
      </c>
      <c r="G76" s="8" t="s">
        <v>40</v>
      </c>
      <c r="H76" s="11">
        <v>0.41666666666666669</v>
      </c>
      <c r="I76" s="11">
        <v>0.5</v>
      </c>
      <c r="J76" s="10">
        <v>46022</v>
      </c>
      <c r="K76" s="10">
        <v>46029</v>
      </c>
      <c r="L76" s="10">
        <v>46036</v>
      </c>
      <c r="M76" s="10">
        <v>46043</v>
      </c>
      <c r="N76" s="10">
        <v>46050</v>
      </c>
      <c r="O76" s="7">
        <v>46057</v>
      </c>
      <c r="P76" s="7">
        <v>46064</v>
      </c>
      <c r="Q76" s="7">
        <v>46071</v>
      </c>
      <c r="R76" s="7">
        <v>46078</v>
      </c>
      <c r="S76" s="7">
        <v>46092</v>
      </c>
      <c r="T76" s="7">
        <v>46099</v>
      </c>
      <c r="U76" s="4"/>
      <c r="V76" s="4"/>
      <c r="W76" s="4"/>
      <c r="X76" s="4"/>
      <c r="Y76" s="4"/>
      <c r="Z76" s="10" cm="1">
        <f t="array" ref="Z76">LOOKUP(2,1/(A76:Y76&lt;&gt;""),A76:Y76)</f>
        <v>46099</v>
      </c>
      <c r="AA76" s="8" t="str">
        <f t="shared" si="1"/>
        <v>מרץ</v>
      </c>
    </row>
    <row r="77" spans="1:27" s="5" customFormat="1" ht="25.1" customHeight="1">
      <c r="A77" s="8" t="s">
        <v>95</v>
      </c>
      <c r="B77" s="8" t="s">
        <v>53</v>
      </c>
      <c r="C77" s="15" t="s">
        <v>139</v>
      </c>
      <c r="D77" s="8" t="s">
        <v>116</v>
      </c>
      <c r="E77" s="8" t="s">
        <v>34</v>
      </c>
      <c r="F77" s="8" t="s">
        <v>117</v>
      </c>
      <c r="G77" s="8" t="s">
        <v>36</v>
      </c>
      <c r="H77" s="11">
        <v>0.41666666666666669</v>
      </c>
      <c r="I77" s="11">
        <v>0.47916666666666669</v>
      </c>
      <c r="J77" s="10">
        <v>46079</v>
      </c>
      <c r="K77" s="10">
        <v>46086</v>
      </c>
      <c r="L77" s="10">
        <v>46093</v>
      </c>
      <c r="M77" s="10">
        <v>46100</v>
      </c>
      <c r="N77" s="10">
        <v>46121</v>
      </c>
      <c r="O77" s="7">
        <v>46128</v>
      </c>
      <c r="P77" s="7">
        <v>46135</v>
      </c>
      <c r="Q77" s="7">
        <v>46156</v>
      </c>
      <c r="R77" s="4"/>
      <c r="S77" s="4"/>
      <c r="T77" s="4"/>
      <c r="U77" s="4"/>
      <c r="V77" s="4"/>
      <c r="W77" s="4"/>
      <c r="X77" s="4"/>
      <c r="Y77" s="4"/>
      <c r="Z77" s="10" cm="1">
        <f t="array" ref="Z77">LOOKUP(2,1/(A77:Y77&lt;&gt;""),A77:Y77)</f>
        <v>46156</v>
      </c>
      <c r="AA77" s="8" t="str">
        <f t="shared" si="1"/>
        <v>מאי</v>
      </c>
    </row>
    <row r="78" spans="1:27" s="5" customFormat="1" ht="25.1" customHeight="1">
      <c r="A78" s="8" t="s">
        <v>95</v>
      </c>
      <c r="B78" s="8" t="s">
        <v>53</v>
      </c>
      <c r="C78" s="15" t="s">
        <v>139</v>
      </c>
      <c r="D78" s="8" t="s">
        <v>118</v>
      </c>
      <c r="E78" s="8" t="s">
        <v>34</v>
      </c>
      <c r="F78" s="8" t="s">
        <v>118</v>
      </c>
      <c r="G78" s="8" t="s">
        <v>36</v>
      </c>
      <c r="H78" s="11">
        <v>0.5</v>
      </c>
      <c r="I78" s="11">
        <v>0.5625</v>
      </c>
      <c r="J78" s="10">
        <v>46079</v>
      </c>
      <c r="K78" s="10">
        <v>46086</v>
      </c>
      <c r="L78" s="10">
        <v>46093</v>
      </c>
      <c r="M78" s="10">
        <v>46100</v>
      </c>
      <c r="N78" s="10">
        <v>46121</v>
      </c>
      <c r="O78" s="7">
        <v>46128</v>
      </c>
      <c r="P78" s="7">
        <v>46135</v>
      </c>
      <c r="Q78" s="7">
        <v>46156</v>
      </c>
      <c r="R78" s="4"/>
      <c r="S78" s="4"/>
      <c r="T78" s="4"/>
      <c r="U78" s="4"/>
      <c r="V78" s="4"/>
      <c r="W78" s="4"/>
      <c r="X78" s="4"/>
      <c r="Y78" s="4"/>
      <c r="Z78" s="10" cm="1">
        <f t="array" ref="Z78">LOOKUP(2,1/(A78:Y78&lt;&gt;""),A78:Y78)</f>
        <v>46156</v>
      </c>
      <c r="AA78" s="8" t="str">
        <f t="shared" si="1"/>
        <v>מאי</v>
      </c>
    </row>
    <row r="79" spans="1:27" s="5" customFormat="1" ht="25.1" customHeight="1">
      <c r="A79" s="8" t="s">
        <v>95</v>
      </c>
      <c r="B79" s="8" t="s">
        <v>53</v>
      </c>
      <c r="C79" s="15" t="s">
        <v>139</v>
      </c>
      <c r="D79" s="8" t="s">
        <v>116</v>
      </c>
      <c r="E79" s="8" t="s">
        <v>34</v>
      </c>
      <c r="F79" s="8" t="s">
        <v>119</v>
      </c>
      <c r="G79" s="8" t="s">
        <v>36</v>
      </c>
      <c r="H79" s="11">
        <v>0.33333333333333331</v>
      </c>
      <c r="I79" s="11">
        <v>0.39583333333333331</v>
      </c>
      <c r="J79" s="10">
        <v>46079</v>
      </c>
      <c r="K79" s="10">
        <v>46086</v>
      </c>
      <c r="L79" s="10">
        <v>46093</v>
      </c>
      <c r="M79" s="10">
        <v>46100</v>
      </c>
      <c r="N79" s="10">
        <v>46121</v>
      </c>
      <c r="O79" s="7">
        <v>46128</v>
      </c>
      <c r="P79" s="7">
        <v>46135</v>
      </c>
      <c r="Q79" s="7">
        <v>46156</v>
      </c>
      <c r="R79" s="4"/>
      <c r="S79" s="4"/>
      <c r="T79" s="4"/>
      <c r="U79" s="4"/>
      <c r="V79" s="4"/>
      <c r="W79" s="4"/>
      <c r="X79" s="4"/>
      <c r="Y79" s="4"/>
      <c r="Z79" s="10" cm="1">
        <f t="array" ref="Z79">LOOKUP(2,1/(A79:Y79&lt;&gt;""),A79:Y79)</f>
        <v>46156</v>
      </c>
      <c r="AA79" s="8" t="str">
        <f t="shared" si="1"/>
        <v>מאי</v>
      </c>
    </row>
    <row r="80" spans="1:27" s="5" customFormat="1" ht="25.1" customHeight="1">
      <c r="A80" s="8" t="s">
        <v>31</v>
      </c>
      <c r="B80" s="8" t="s">
        <v>53</v>
      </c>
      <c r="C80" s="15" t="s">
        <v>139</v>
      </c>
      <c r="D80" s="8" t="s">
        <v>120</v>
      </c>
      <c r="E80" s="8" t="s">
        <v>34</v>
      </c>
      <c r="F80" s="8" t="s">
        <v>120</v>
      </c>
      <c r="G80" s="8" t="s">
        <v>68</v>
      </c>
      <c r="H80" s="11">
        <v>0.33333333333333331</v>
      </c>
      <c r="I80" s="11">
        <v>0.39583333333333331</v>
      </c>
      <c r="J80" s="10">
        <v>46061</v>
      </c>
      <c r="K80" s="10">
        <v>46068</v>
      </c>
      <c r="L80" s="10">
        <v>46075</v>
      </c>
      <c r="M80" s="10">
        <v>46082</v>
      </c>
      <c r="N80" s="10">
        <v>46089</v>
      </c>
      <c r="O80" s="7">
        <v>46096</v>
      </c>
      <c r="P80" s="7">
        <v>46103</v>
      </c>
      <c r="Q80" s="7">
        <v>46156</v>
      </c>
      <c r="R80" s="4"/>
      <c r="S80" s="4"/>
      <c r="T80" s="4"/>
      <c r="U80" s="4"/>
      <c r="V80" s="4"/>
      <c r="W80" s="4"/>
      <c r="X80" s="4"/>
      <c r="Y80" s="4"/>
      <c r="Z80" s="10" cm="1">
        <f t="array" ref="Z80">LOOKUP(2,1/(A80:Y80&lt;&gt;""),A80:Y80)</f>
        <v>46156</v>
      </c>
      <c r="AA80" s="8" t="str">
        <f t="shared" si="1"/>
        <v>מאי</v>
      </c>
    </row>
    <row r="81" spans="1:27" s="5" customFormat="1" ht="25.1" customHeight="1">
      <c r="A81" s="8" t="s">
        <v>31</v>
      </c>
      <c r="B81" s="8" t="s">
        <v>53</v>
      </c>
      <c r="C81" s="15" t="s">
        <v>139</v>
      </c>
      <c r="D81" s="8" t="s">
        <v>121</v>
      </c>
      <c r="E81" s="8" t="s">
        <v>34</v>
      </c>
      <c r="F81" s="8" t="s">
        <v>121</v>
      </c>
      <c r="G81" s="8" t="s">
        <v>68</v>
      </c>
      <c r="H81" s="11">
        <v>0.58333333333333337</v>
      </c>
      <c r="I81" s="11">
        <v>0.64583333333333337</v>
      </c>
      <c r="J81" s="10">
        <v>46061</v>
      </c>
      <c r="K81" s="10">
        <v>46068</v>
      </c>
      <c r="L81" s="10">
        <v>46075</v>
      </c>
      <c r="M81" s="10">
        <v>46082</v>
      </c>
      <c r="N81" s="10">
        <v>46089</v>
      </c>
      <c r="O81" s="7">
        <v>46096</v>
      </c>
      <c r="P81" s="7">
        <v>46103</v>
      </c>
      <c r="Q81" s="7">
        <v>46156</v>
      </c>
      <c r="R81" s="4"/>
      <c r="S81" s="4"/>
      <c r="T81" s="4"/>
      <c r="U81" s="4"/>
      <c r="V81" s="4"/>
      <c r="W81" s="4"/>
      <c r="X81" s="4"/>
      <c r="Y81" s="4"/>
      <c r="Z81" s="10" cm="1">
        <f t="array" ref="Z81">LOOKUP(2,1/(A81:Y81&lt;&gt;""),A81:Y81)</f>
        <v>46156</v>
      </c>
      <c r="AA81" s="8" t="str">
        <f t="shared" si="1"/>
        <v>מאי</v>
      </c>
    </row>
    <row r="82" spans="1:27" s="5" customFormat="1" ht="25.1" customHeight="1">
      <c r="A82" s="8" t="s">
        <v>31</v>
      </c>
      <c r="B82" s="8" t="s">
        <v>53</v>
      </c>
      <c r="C82" s="15" t="s">
        <v>139</v>
      </c>
      <c r="D82" s="8" t="s">
        <v>122</v>
      </c>
      <c r="E82" s="8" t="s">
        <v>34</v>
      </c>
      <c r="F82" s="8" t="s">
        <v>122</v>
      </c>
      <c r="G82" s="8" t="s">
        <v>40</v>
      </c>
      <c r="H82" s="11">
        <v>0.39583333333333331</v>
      </c>
      <c r="I82" s="11">
        <v>0.45833333333333331</v>
      </c>
      <c r="J82" s="10">
        <v>46064</v>
      </c>
      <c r="K82" s="10">
        <v>46071</v>
      </c>
      <c r="L82" s="10">
        <v>46078</v>
      </c>
      <c r="M82" s="10">
        <v>46092</v>
      </c>
      <c r="N82" s="10">
        <v>46099</v>
      </c>
      <c r="O82" s="7">
        <v>46127</v>
      </c>
      <c r="P82" s="7">
        <v>46141</v>
      </c>
      <c r="Q82" s="7">
        <v>46156</v>
      </c>
      <c r="R82" s="4"/>
      <c r="S82" s="4"/>
      <c r="T82" s="4"/>
      <c r="U82" s="4"/>
      <c r="V82" s="4"/>
      <c r="W82" s="4"/>
      <c r="X82" s="4"/>
      <c r="Y82" s="4"/>
      <c r="Z82" s="10" cm="1">
        <f t="array" ref="Z82">LOOKUP(2,1/(A82:Y82&lt;&gt;""),A82:Y82)</f>
        <v>46156</v>
      </c>
      <c r="AA82" s="8" t="str">
        <f t="shared" si="1"/>
        <v>מאי</v>
      </c>
    </row>
    <row r="83" spans="1:27" s="5" customFormat="1" ht="25.1" customHeight="1">
      <c r="A83" s="8" t="s">
        <v>31</v>
      </c>
      <c r="B83" s="8" t="s">
        <v>53</v>
      </c>
      <c r="C83" s="15" t="s">
        <v>139</v>
      </c>
      <c r="D83" s="8" t="s">
        <v>123</v>
      </c>
      <c r="E83" s="8" t="s">
        <v>34</v>
      </c>
      <c r="F83" s="8" t="s">
        <v>123</v>
      </c>
      <c r="G83" s="8" t="s">
        <v>40</v>
      </c>
      <c r="H83" s="11">
        <v>0.48958333333333331</v>
      </c>
      <c r="I83" s="11">
        <v>0.52083333333333337</v>
      </c>
      <c r="J83" s="10">
        <v>46064</v>
      </c>
      <c r="K83" s="10">
        <v>46071</v>
      </c>
      <c r="L83" s="10">
        <v>46078</v>
      </c>
      <c r="M83" s="10">
        <v>46092</v>
      </c>
      <c r="N83" s="10">
        <v>46099</v>
      </c>
      <c r="O83" s="7">
        <v>46127</v>
      </c>
      <c r="P83" s="7">
        <v>46141</v>
      </c>
      <c r="Q83" s="7">
        <v>46156</v>
      </c>
      <c r="R83" s="4"/>
      <c r="S83" s="4"/>
      <c r="T83" s="4"/>
      <c r="U83" s="4"/>
      <c r="V83" s="4"/>
      <c r="W83" s="4"/>
      <c r="X83" s="4"/>
      <c r="Y83" s="4"/>
      <c r="Z83" s="10" cm="1">
        <f t="array" ref="Z83">LOOKUP(2,1/(A83:Y83&lt;&gt;""),A83:Y83)</f>
        <v>46156</v>
      </c>
      <c r="AA83" s="8" t="str">
        <f t="shared" si="1"/>
        <v>מאי</v>
      </c>
    </row>
    <row r="84" spans="1:27" s="5" customFormat="1" ht="25.1" customHeight="1">
      <c r="A84" s="8" t="s">
        <v>124</v>
      </c>
      <c r="B84" s="8" t="s">
        <v>53</v>
      </c>
      <c r="C84" s="15" t="s">
        <v>139</v>
      </c>
      <c r="D84" s="8" t="s">
        <v>125</v>
      </c>
      <c r="E84" s="8" t="s">
        <v>34</v>
      </c>
      <c r="F84" s="8" t="s">
        <v>125</v>
      </c>
      <c r="G84" s="8" t="s">
        <v>36</v>
      </c>
      <c r="H84" s="11">
        <v>0.33333333333333331</v>
      </c>
      <c r="I84" s="11">
        <v>0.41666666666666669</v>
      </c>
      <c r="J84" s="10">
        <v>46058</v>
      </c>
      <c r="K84" s="10">
        <v>46065</v>
      </c>
      <c r="L84" s="10">
        <v>46072</v>
      </c>
      <c r="M84" s="10">
        <v>46079</v>
      </c>
      <c r="N84" s="10">
        <v>46086</v>
      </c>
      <c r="O84" s="7">
        <v>46093</v>
      </c>
      <c r="P84" s="7">
        <v>46100</v>
      </c>
      <c r="Q84" s="7">
        <v>46156</v>
      </c>
      <c r="R84" s="4"/>
      <c r="S84" s="4"/>
      <c r="T84" s="4"/>
      <c r="U84" s="4"/>
      <c r="V84" s="4"/>
      <c r="W84" s="4"/>
      <c r="X84" s="4"/>
      <c r="Y84" s="4"/>
      <c r="Z84" s="10" cm="1">
        <f t="array" ref="Z84">LOOKUP(2,1/(A84:Y84&lt;&gt;""),A84:Y84)</f>
        <v>46156</v>
      </c>
      <c r="AA84" s="8" t="str">
        <f t="shared" si="1"/>
        <v>מאי</v>
      </c>
    </row>
    <row r="85" spans="1:27" s="5" customFormat="1" ht="25.1" customHeight="1">
      <c r="A85" s="8" t="s">
        <v>95</v>
      </c>
      <c r="B85" s="8" t="s">
        <v>53</v>
      </c>
      <c r="C85" s="15" t="s">
        <v>139</v>
      </c>
      <c r="D85" s="8" t="s">
        <v>126</v>
      </c>
      <c r="E85" s="8" t="s">
        <v>34</v>
      </c>
      <c r="F85" s="8" t="s">
        <v>127</v>
      </c>
      <c r="G85" s="8" t="s">
        <v>68</v>
      </c>
      <c r="H85" s="11">
        <v>0.5</v>
      </c>
      <c r="I85" s="11">
        <v>0.5625</v>
      </c>
      <c r="J85" s="10">
        <v>46061</v>
      </c>
      <c r="K85" s="10">
        <v>46068</v>
      </c>
      <c r="L85" s="10">
        <v>46075</v>
      </c>
      <c r="M85" s="10">
        <v>46082</v>
      </c>
      <c r="N85" s="10">
        <v>46089</v>
      </c>
      <c r="O85" s="7">
        <v>46096</v>
      </c>
      <c r="P85" s="7">
        <v>46103</v>
      </c>
      <c r="Q85" s="7">
        <v>46124</v>
      </c>
      <c r="R85" s="7">
        <v>46131</v>
      </c>
      <c r="S85" s="7">
        <v>46138</v>
      </c>
      <c r="T85" s="4"/>
      <c r="U85" s="4"/>
      <c r="V85" s="4"/>
      <c r="W85" s="4"/>
      <c r="X85" s="4"/>
      <c r="Y85" s="4"/>
      <c r="Z85" s="10" cm="1">
        <f t="array" ref="Z85">LOOKUP(2,1/(A85:Y85&lt;&gt;""),A85:Y85)</f>
        <v>46138</v>
      </c>
      <c r="AA85" s="8" t="str">
        <f t="shared" si="1"/>
        <v>אפריל</v>
      </c>
    </row>
    <row r="86" spans="1:27" s="5" customFormat="1" ht="25.1" customHeight="1">
      <c r="A86" s="8" t="s">
        <v>128</v>
      </c>
      <c r="B86" s="8" t="s">
        <v>32</v>
      </c>
      <c r="C86" s="15" t="s">
        <v>139</v>
      </c>
      <c r="D86" s="8" t="s">
        <v>129</v>
      </c>
      <c r="E86" s="8" t="s">
        <v>34</v>
      </c>
      <c r="F86" s="8" t="s">
        <v>130</v>
      </c>
      <c r="G86" s="8" t="s">
        <v>45</v>
      </c>
      <c r="H86" s="11">
        <v>0.55208333333333337</v>
      </c>
      <c r="I86" s="11">
        <v>0.61458333333333337</v>
      </c>
      <c r="J86" s="10">
        <v>46063</v>
      </c>
      <c r="K86" s="10">
        <v>46070</v>
      </c>
      <c r="L86" s="10">
        <v>46077</v>
      </c>
      <c r="M86" s="10">
        <v>46091</v>
      </c>
      <c r="N86" s="10">
        <v>46098</v>
      </c>
      <c r="O86" s="7">
        <v>46126</v>
      </c>
      <c r="P86" s="7">
        <v>46140</v>
      </c>
      <c r="Q86" s="7">
        <v>46147</v>
      </c>
      <c r="R86" s="7">
        <v>46154</v>
      </c>
      <c r="S86" s="7">
        <v>46161</v>
      </c>
      <c r="T86" s="4"/>
      <c r="U86" s="4"/>
      <c r="V86" s="4"/>
      <c r="W86" s="4"/>
      <c r="X86" s="4"/>
      <c r="Y86" s="4"/>
      <c r="Z86" s="10" cm="1">
        <f t="array" ref="Z86">LOOKUP(2,1/(A86:Y86&lt;&gt;""),A86:Y86)</f>
        <v>46161</v>
      </c>
      <c r="AA86" s="8" t="str">
        <f t="shared" si="1"/>
        <v>מאי</v>
      </c>
    </row>
    <row r="87" spans="1:27" s="5" customFormat="1" ht="25.1" customHeight="1">
      <c r="A87" s="8" t="s">
        <v>131</v>
      </c>
      <c r="B87" s="8" t="s">
        <v>132</v>
      </c>
      <c r="C87" s="15" t="s">
        <v>139</v>
      </c>
      <c r="D87" s="8" t="s">
        <v>133</v>
      </c>
      <c r="E87" s="8" t="s">
        <v>34</v>
      </c>
      <c r="F87" s="8" t="s">
        <v>134</v>
      </c>
      <c r="G87" s="8" t="s">
        <v>36</v>
      </c>
      <c r="H87" s="11">
        <v>0.63541666666666663</v>
      </c>
      <c r="I87" s="11">
        <v>0.67708333333333337</v>
      </c>
      <c r="J87" s="10">
        <v>46030</v>
      </c>
      <c r="K87" s="7">
        <v>46044</v>
      </c>
      <c r="L87" s="7">
        <v>46058</v>
      </c>
      <c r="M87" s="7">
        <v>46065</v>
      </c>
      <c r="N87" s="7">
        <v>46072</v>
      </c>
      <c r="O87" s="7">
        <v>46079</v>
      </c>
      <c r="P87" s="7">
        <v>46086</v>
      </c>
      <c r="Q87" s="7">
        <v>46093</v>
      </c>
      <c r="R87" s="7">
        <v>46100</v>
      </c>
      <c r="S87" s="7">
        <v>46121</v>
      </c>
      <c r="T87" s="7">
        <v>46128</v>
      </c>
      <c r="U87" s="7">
        <v>46135</v>
      </c>
      <c r="V87" s="7"/>
      <c r="W87" s="7"/>
      <c r="X87" s="7"/>
      <c r="Y87" s="7"/>
      <c r="Z87" s="10" cm="1">
        <f t="array" ref="Z87">LOOKUP(2,1/(A87:Y87&lt;&gt;""),A87:Y87)</f>
        <v>46135</v>
      </c>
      <c r="AA87" s="8" t="str">
        <f t="shared" si="1"/>
        <v>אפריל</v>
      </c>
    </row>
    <row r="88" spans="1:27" s="5" customFormat="1" ht="25.1" customHeight="1">
      <c r="A88" s="8" t="s">
        <v>131</v>
      </c>
      <c r="B88" s="8" t="s">
        <v>132</v>
      </c>
      <c r="C88" s="15" t="s">
        <v>139</v>
      </c>
      <c r="D88" s="8" t="s">
        <v>133</v>
      </c>
      <c r="E88" s="8" t="s">
        <v>34</v>
      </c>
      <c r="F88" s="8" t="s">
        <v>134</v>
      </c>
      <c r="G88" s="8" t="s">
        <v>36</v>
      </c>
      <c r="H88" s="11">
        <v>0.58333333333333337</v>
      </c>
      <c r="I88" s="11">
        <v>0.625</v>
      </c>
      <c r="J88" s="10">
        <v>46030</v>
      </c>
      <c r="K88" s="7">
        <v>46044</v>
      </c>
      <c r="L88" s="7">
        <v>46058</v>
      </c>
      <c r="M88" s="7">
        <v>46065</v>
      </c>
      <c r="N88" s="7">
        <v>46072</v>
      </c>
      <c r="O88" s="7">
        <v>46079</v>
      </c>
      <c r="P88" s="7">
        <v>46086</v>
      </c>
      <c r="Q88" s="7">
        <v>46093</v>
      </c>
      <c r="R88" s="7">
        <v>46100</v>
      </c>
      <c r="S88" s="7">
        <v>46121</v>
      </c>
      <c r="T88" s="7">
        <v>46128</v>
      </c>
      <c r="U88" s="7">
        <v>46135</v>
      </c>
      <c r="V88" s="7"/>
      <c r="W88" s="7"/>
      <c r="X88" s="7"/>
      <c r="Y88" s="7"/>
      <c r="Z88" s="10" cm="1">
        <f t="array" ref="Z88">LOOKUP(2,1/(A88:Y88&lt;&gt;""),A88:Y88)</f>
        <v>46135</v>
      </c>
      <c r="AA88" s="8" t="str">
        <f t="shared" si="1"/>
        <v>אפריל</v>
      </c>
    </row>
    <row r="89" spans="1:27" s="5" customFormat="1" ht="25.1" customHeight="1">
      <c r="A89" s="8" t="s">
        <v>135</v>
      </c>
      <c r="B89" s="8" t="s">
        <v>136</v>
      </c>
      <c r="C89" s="15" t="s">
        <v>139</v>
      </c>
      <c r="D89" s="8" t="s">
        <v>62</v>
      </c>
      <c r="E89" s="8" t="s">
        <v>34</v>
      </c>
      <c r="F89" s="8" t="s">
        <v>134</v>
      </c>
      <c r="G89" s="8" t="s">
        <v>45</v>
      </c>
      <c r="H89" s="11">
        <v>0.6875</v>
      </c>
      <c r="I89" s="11">
        <v>0.72916666666666663</v>
      </c>
      <c r="J89" s="10">
        <v>45965</v>
      </c>
      <c r="K89" s="10">
        <v>45972</v>
      </c>
      <c r="L89" s="10">
        <v>45979</v>
      </c>
      <c r="M89" s="10">
        <v>45986</v>
      </c>
      <c r="N89" s="10">
        <v>45993</v>
      </c>
      <c r="O89" s="7">
        <v>46000</v>
      </c>
      <c r="P89" s="7">
        <v>46014</v>
      </c>
      <c r="Q89" s="7">
        <v>46021</v>
      </c>
      <c r="R89" s="7">
        <v>46028</v>
      </c>
      <c r="S89" s="7">
        <v>46035</v>
      </c>
      <c r="T89" s="7">
        <v>46042</v>
      </c>
      <c r="U89" s="7">
        <v>46049</v>
      </c>
      <c r="V89" s="7">
        <v>46056</v>
      </c>
      <c r="W89" s="7">
        <v>46063</v>
      </c>
      <c r="X89" s="7">
        <v>46070</v>
      </c>
      <c r="Y89" s="7">
        <v>46077</v>
      </c>
      <c r="Z89" s="10" cm="1">
        <f t="array" ref="Z89">LOOKUP(2,1/(A89:Y89&lt;&gt;""),A89:Y89)</f>
        <v>46077</v>
      </c>
      <c r="AA89" s="8" t="str">
        <f t="shared" si="1"/>
        <v>פברואר</v>
      </c>
    </row>
    <row r="90" spans="1:27" s="5" customFormat="1" ht="25.1" customHeight="1">
      <c r="A90" s="8" t="s">
        <v>135</v>
      </c>
      <c r="B90" s="8" t="s">
        <v>136</v>
      </c>
      <c r="C90" s="15" t="s">
        <v>139</v>
      </c>
      <c r="D90" s="8" t="s">
        <v>62</v>
      </c>
      <c r="E90" s="8" t="s">
        <v>34</v>
      </c>
      <c r="F90" s="8" t="s">
        <v>134</v>
      </c>
      <c r="G90" s="8" t="s">
        <v>45</v>
      </c>
      <c r="H90" s="11">
        <v>0.72916666666666663</v>
      </c>
      <c r="I90" s="11">
        <v>0.75</v>
      </c>
      <c r="J90" s="10">
        <v>45965</v>
      </c>
      <c r="K90" s="10">
        <v>45972</v>
      </c>
      <c r="L90" s="10">
        <v>45979</v>
      </c>
      <c r="M90" s="10">
        <v>45986</v>
      </c>
      <c r="N90" s="10">
        <v>45993</v>
      </c>
      <c r="O90" s="7">
        <v>46000</v>
      </c>
      <c r="P90" s="7">
        <v>46007</v>
      </c>
      <c r="Q90" s="7">
        <v>46021</v>
      </c>
      <c r="R90" s="7">
        <v>46028</v>
      </c>
      <c r="S90" s="7">
        <v>46035</v>
      </c>
      <c r="T90" s="7">
        <v>46042</v>
      </c>
      <c r="U90" s="7">
        <v>46049</v>
      </c>
      <c r="V90" s="7">
        <v>46056</v>
      </c>
      <c r="W90" s="7">
        <v>46063</v>
      </c>
      <c r="X90" s="7">
        <v>46070</v>
      </c>
      <c r="Y90" s="7">
        <v>46077</v>
      </c>
      <c r="Z90" s="10" cm="1">
        <f t="array" ref="Z90">LOOKUP(2,1/(A90:Y90&lt;&gt;""),A90:Y90)</f>
        <v>46077</v>
      </c>
      <c r="AA90" s="8" t="str">
        <f t="shared" si="1"/>
        <v>פברואר</v>
      </c>
    </row>
    <row r="91" spans="1:27" ht="25.1" customHeight="1">
      <c r="A91" s="8" t="s">
        <v>61</v>
      </c>
      <c r="B91" s="8" t="s">
        <v>32</v>
      </c>
      <c r="C91" s="15" t="s">
        <v>139</v>
      </c>
      <c r="D91" s="8" t="s">
        <v>62</v>
      </c>
      <c r="E91" s="8" t="s">
        <v>34</v>
      </c>
      <c r="F91" s="8" t="s">
        <v>63</v>
      </c>
      <c r="G91" s="8" t="s">
        <v>50</v>
      </c>
      <c r="H91" s="11">
        <v>0.5</v>
      </c>
      <c r="I91" s="11">
        <v>0.58333333333333337</v>
      </c>
      <c r="J91" s="10">
        <v>46034</v>
      </c>
      <c r="K91" s="10">
        <v>46048</v>
      </c>
      <c r="L91" s="10">
        <v>46062</v>
      </c>
      <c r="M91" s="10">
        <v>46076</v>
      </c>
      <c r="N91" s="10">
        <v>46090</v>
      </c>
      <c r="O91" s="7">
        <v>46104</v>
      </c>
      <c r="P91" s="7">
        <v>46146</v>
      </c>
      <c r="Q91" s="7">
        <v>46160</v>
      </c>
      <c r="R91" s="7">
        <v>46181</v>
      </c>
      <c r="S91" s="7">
        <v>46188</v>
      </c>
      <c r="T91" s="13"/>
      <c r="U91" s="13"/>
      <c r="V91" s="13"/>
      <c r="W91" s="13"/>
      <c r="X91" s="13"/>
      <c r="Y91" s="13"/>
      <c r="Z91" s="10" cm="1">
        <f t="array" ref="Z91">LOOKUP(2,1/(A91:Y91&lt;&gt;""),A91:Y91)</f>
        <v>46188</v>
      </c>
      <c r="AA91" s="8" t="str">
        <f t="shared" ref="AA91:AA97" si="2">TEXT(Z91,"[$-he-IL]mmmm")</f>
        <v>יוני</v>
      </c>
    </row>
    <row r="92" spans="1:27" ht="25.1" customHeight="1">
      <c r="A92" s="8" t="s">
        <v>61</v>
      </c>
      <c r="B92" s="8" t="s">
        <v>32</v>
      </c>
      <c r="C92" s="15" t="s">
        <v>139</v>
      </c>
      <c r="D92" s="8" t="s">
        <v>62</v>
      </c>
      <c r="E92" s="8" t="s">
        <v>34</v>
      </c>
      <c r="F92" s="8" t="s">
        <v>63</v>
      </c>
      <c r="G92" s="8" t="s">
        <v>40</v>
      </c>
      <c r="H92" s="11">
        <v>0.41666666666666669</v>
      </c>
      <c r="I92" s="11">
        <v>0.5</v>
      </c>
      <c r="J92" s="10">
        <v>46078</v>
      </c>
      <c r="K92" s="10">
        <v>46092</v>
      </c>
      <c r="L92" s="10">
        <v>46099</v>
      </c>
      <c r="M92" s="7">
        <v>46127</v>
      </c>
      <c r="N92" s="7">
        <v>46141</v>
      </c>
      <c r="O92" s="7">
        <v>46148</v>
      </c>
      <c r="P92" s="7">
        <v>46155</v>
      </c>
      <c r="Q92" s="7">
        <v>46162</v>
      </c>
      <c r="R92" s="7">
        <v>46169</v>
      </c>
      <c r="S92" s="7">
        <v>46176</v>
      </c>
      <c r="T92" s="7"/>
      <c r="U92" s="7"/>
      <c r="V92" s="13"/>
      <c r="W92" s="13"/>
      <c r="X92" s="13"/>
      <c r="Y92" s="13"/>
      <c r="Z92" s="10" cm="1">
        <f t="array" ref="Z92">LOOKUP(2,1/(A92:Y92&lt;&gt;""),A92:Y92)</f>
        <v>46176</v>
      </c>
      <c r="AA92" s="8" t="str">
        <f t="shared" si="2"/>
        <v>יוני</v>
      </c>
    </row>
    <row r="93" spans="1:27" ht="25.1" customHeight="1">
      <c r="A93" s="8" t="s">
        <v>61</v>
      </c>
      <c r="B93" s="8" t="s">
        <v>32</v>
      </c>
      <c r="C93" s="15" t="s">
        <v>139</v>
      </c>
      <c r="D93" s="8" t="s">
        <v>62</v>
      </c>
      <c r="E93" s="8" t="s">
        <v>34</v>
      </c>
      <c r="F93" s="8" t="s">
        <v>142</v>
      </c>
      <c r="G93" s="8" t="s">
        <v>36</v>
      </c>
      <c r="H93" s="11">
        <v>0.41666666666666669</v>
      </c>
      <c r="I93" s="11">
        <v>0.5</v>
      </c>
      <c r="J93" s="7">
        <v>46079</v>
      </c>
      <c r="K93" s="7">
        <v>46086</v>
      </c>
      <c r="L93" s="7">
        <v>46093</v>
      </c>
      <c r="M93" s="7">
        <v>46100</v>
      </c>
      <c r="N93" s="7">
        <v>46121</v>
      </c>
      <c r="O93" s="7">
        <v>46128</v>
      </c>
      <c r="P93" s="7">
        <v>46135</v>
      </c>
      <c r="Q93" s="7">
        <v>46142</v>
      </c>
      <c r="R93" s="7">
        <v>46149</v>
      </c>
      <c r="S93" s="7">
        <v>46156</v>
      </c>
      <c r="T93" s="13"/>
      <c r="U93" s="13"/>
      <c r="V93" s="13"/>
      <c r="W93" s="13"/>
      <c r="X93" s="13"/>
      <c r="Y93" s="13"/>
      <c r="Z93" s="10" cm="1">
        <f t="array" ref="Z93">LOOKUP(2,1/(A93:Y93&lt;&gt;""),A93:Y93)</f>
        <v>46156</v>
      </c>
      <c r="AA93" s="8" t="str">
        <f t="shared" si="2"/>
        <v>מאי</v>
      </c>
    </row>
    <row r="94" spans="1:27" ht="25.1" customHeight="1">
      <c r="A94" s="8" t="s">
        <v>61</v>
      </c>
      <c r="B94" s="8" t="s">
        <v>32</v>
      </c>
      <c r="C94" s="15" t="s">
        <v>139</v>
      </c>
      <c r="D94" s="8" t="s">
        <v>62</v>
      </c>
      <c r="E94" s="8" t="s">
        <v>34</v>
      </c>
      <c r="F94" s="8" t="s">
        <v>142</v>
      </c>
      <c r="G94" s="8" t="s">
        <v>40</v>
      </c>
      <c r="H94" s="11">
        <v>0.5</v>
      </c>
      <c r="I94" s="11">
        <v>0.58333333333333337</v>
      </c>
      <c r="J94" s="10">
        <v>46078</v>
      </c>
      <c r="K94" s="10">
        <v>46092</v>
      </c>
      <c r="L94" s="10">
        <v>46099</v>
      </c>
      <c r="M94" s="7">
        <v>46127</v>
      </c>
      <c r="N94" s="7">
        <v>46141</v>
      </c>
      <c r="O94" s="7">
        <v>46148</v>
      </c>
      <c r="P94" s="7">
        <v>46155</v>
      </c>
      <c r="Q94" s="7">
        <v>46162</v>
      </c>
      <c r="R94" s="7">
        <v>46169</v>
      </c>
      <c r="S94" s="7">
        <v>46176</v>
      </c>
      <c r="T94" s="13"/>
      <c r="U94" s="13"/>
      <c r="V94" s="13"/>
      <c r="W94" s="13"/>
      <c r="X94" s="13"/>
      <c r="Y94" s="13"/>
      <c r="Z94" s="10" cm="1">
        <f t="array" ref="Z94">LOOKUP(2,1/(A94:Y94&lt;&gt;""),A94:Y94)</f>
        <v>46176</v>
      </c>
      <c r="AA94" s="8" t="str">
        <f t="shared" si="2"/>
        <v>יוני</v>
      </c>
    </row>
    <row r="95" spans="1:27" ht="25.1" customHeight="1">
      <c r="A95" s="8"/>
      <c r="B95" s="8" t="s">
        <v>32</v>
      </c>
      <c r="C95" s="15" t="s">
        <v>139</v>
      </c>
      <c r="D95" s="8" t="s">
        <v>62</v>
      </c>
      <c r="E95" s="8" t="s">
        <v>34</v>
      </c>
      <c r="F95" s="8" t="s">
        <v>143</v>
      </c>
      <c r="G95" s="8" t="s">
        <v>36</v>
      </c>
      <c r="H95" s="11">
        <v>0.5</v>
      </c>
      <c r="I95" s="11">
        <v>0.58333333333333337</v>
      </c>
      <c r="J95" s="7">
        <v>46079</v>
      </c>
      <c r="K95" s="7">
        <v>46086</v>
      </c>
      <c r="L95" s="7">
        <v>46093</v>
      </c>
      <c r="M95" s="7">
        <v>46100</v>
      </c>
      <c r="N95" s="7">
        <v>46121</v>
      </c>
      <c r="O95" s="7">
        <v>46128</v>
      </c>
      <c r="P95" s="7">
        <v>46135</v>
      </c>
      <c r="Q95" s="7">
        <v>46142</v>
      </c>
      <c r="R95" s="7">
        <v>46149</v>
      </c>
      <c r="S95" s="7">
        <v>46156</v>
      </c>
      <c r="T95" s="13"/>
      <c r="U95" s="13"/>
      <c r="V95" s="13"/>
      <c r="W95" s="13"/>
      <c r="X95" s="13"/>
      <c r="Y95" s="13"/>
      <c r="Z95" s="10" cm="1">
        <f t="array" ref="Z95">LOOKUP(2,1/(A95:Y95&lt;&gt;""),A95:Y95)</f>
        <v>46156</v>
      </c>
      <c r="AA95" s="8" t="str">
        <f t="shared" si="2"/>
        <v>מאי</v>
      </c>
    </row>
    <row r="96" spans="1:27" ht="25.1" customHeight="1">
      <c r="A96" s="8"/>
      <c r="B96" s="8" t="s">
        <v>32</v>
      </c>
      <c r="C96" s="15" t="s">
        <v>139</v>
      </c>
      <c r="D96" s="8" t="s">
        <v>62</v>
      </c>
      <c r="E96" s="8" t="s">
        <v>34</v>
      </c>
      <c r="F96" s="8" t="s">
        <v>143</v>
      </c>
      <c r="G96" s="8" t="s">
        <v>45</v>
      </c>
      <c r="H96" s="11">
        <v>0.5</v>
      </c>
      <c r="I96" s="11">
        <v>0.58333333333333337</v>
      </c>
      <c r="J96" s="10">
        <v>46076</v>
      </c>
      <c r="K96" s="10">
        <v>46083</v>
      </c>
      <c r="L96" s="7">
        <v>46090</v>
      </c>
      <c r="M96" s="7">
        <v>46097</v>
      </c>
      <c r="N96" s="7">
        <v>46104</v>
      </c>
      <c r="O96" s="7">
        <v>46125</v>
      </c>
      <c r="P96" s="7">
        <v>46139</v>
      </c>
      <c r="Q96" s="7">
        <v>46146</v>
      </c>
      <c r="R96" s="7">
        <v>46153</v>
      </c>
      <c r="S96" s="7">
        <v>46160</v>
      </c>
      <c r="T96" s="13"/>
      <c r="U96" s="13"/>
      <c r="V96" s="13"/>
      <c r="W96" s="13"/>
      <c r="X96" s="13"/>
      <c r="Y96" s="13"/>
      <c r="Z96" s="10" cm="1">
        <f t="array" ref="Z96">LOOKUP(2,1/(A96:Y96&lt;&gt;""),A96:Y96)</f>
        <v>46160</v>
      </c>
      <c r="AA96" s="8" t="str">
        <f t="shared" si="2"/>
        <v>מאי</v>
      </c>
    </row>
    <row r="97" spans="1:27" ht="25.1" customHeight="1">
      <c r="A97" s="8" t="s">
        <v>61</v>
      </c>
      <c r="B97" s="8" t="s">
        <v>32</v>
      </c>
      <c r="C97" s="15" t="s">
        <v>139</v>
      </c>
      <c r="D97" s="8" t="s">
        <v>62</v>
      </c>
      <c r="E97" s="8" t="s">
        <v>34</v>
      </c>
      <c r="F97" s="8" t="s">
        <v>144</v>
      </c>
      <c r="G97" s="8" t="s">
        <v>45</v>
      </c>
      <c r="H97" s="11">
        <v>0.41666666666666669</v>
      </c>
      <c r="I97" s="11">
        <v>0.5</v>
      </c>
      <c r="J97" s="10">
        <v>46076</v>
      </c>
      <c r="K97" s="10">
        <v>46083</v>
      </c>
      <c r="L97" s="7">
        <v>46090</v>
      </c>
      <c r="M97" s="7">
        <v>46097</v>
      </c>
      <c r="N97" s="7">
        <v>46104</v>
      </c>
      <c r="O97" s="7">
        <v>46125</v>
      </c>
      <c r="P97" s="7">
        <v>46139</v>
      </c>
      <c r="Q97" s="7">
        <v>46146</v>
      </c>
      <c r="R97" s="7">
        <v>46153</v>
      </c>
      <c r="S97" s="7">
        <v>46160</v>
      </c>
      <c r="T97" s="13"/>
      <c r="U97" s="13"/>
      <c r="V97" s="13"/>
      <c r="W97" s="13"/>
      <c r="X97" s="13"/>
      <c r="Y97" s="13"/>
      <c r="Z97" s="10" cm="1">
        <f t="array" ref="Z97">LOOKUP(2,1/(A97:Y97&lt;&gt;""),A97:Y97)</f>
        <v>46160</v>
      </c>
      <c r="AA97" s="8" t="str">
        <f t="shared" si="2"/>
        <v>מאי</v>
      </c>
    </row>
    <row r="98" spans="1:27" ht="25.1" customHeight="1">
      <c r="A98" s="8" t="s">
        <v>81</v>
      </c>
      <c r="B98" s="8" t="s">
        <v>146</v>
      </c>
      <c r="C98" s="15" t="s">
        <v>139</v>
      </c>
      <c r="D98" s="8" t="s">
        <v>90</v>
      </c>
      <c r="E98" s="8" t="s">
        <v>66</v>
      </c>
      <c r="F98" s="8" t="s">
        <v>145</v>
      </c>
      <c r="G98" s="8" t="s">
        <v>50</v>
      </c>
      <c r="H98" s="11">
        <v>0.5</v>
      </c>
      <c r="I98" s="11">
        <v>0.58333333333333337</v>
      </c>
      <c r="J98" s="10">
        <v>46062</v>
      </c>
      <c r="K98" s="10">
        <v>46069</v>
      </c>
      <c r="L98" s="10">
        <v>46076</v>
      </c>
      <c r="M98" s="10">
        <v>46083</v>
      </c>
      <c r="N98" s="10">
        <v>46090</v>
      </c>
      <c r="O98" s="7">
        <v>46097</v>
      </c>
      <c r="P98" s="7">
        <v>46104</v>
      </c>
      <c r="Q98" s="7">
        <v>46125</v>
      </c>
      <c r="R98" s="7">
        <v>46139</v>
      </c>
      <c r="S98" s="7">
        <v>46146</v>
      </c>
      <c r="T98" s="13"/>
      <c r="U98" s="13"/>
      <c r="V98" s="13"/>
      <c r="W98" s="13"/>
      <c r="X98" s="13"/>
      <c r="Y98" s="13"/>
      <c r="Z98" s="10" cm="1">
        <f t="array" ref="Z98">LOOKUP(2,1/(A98:Y98&lt;&gt;""),A98:Y98)</f>
        <v>46146</v>
      </c>
      <c r="AA98" s="8" t="str">
        <f t="shared" ref="AA98:AA99" si="3">TEXT(Z98,"[$-he-IL]mmmm")</f>
        <v>מאי</v>
      </c>
    </row>
    <row r="99" spans="1:27" ht="25.1" customHeight="1">
      <c r="A99" s="8" t="s">
        <v>95</v>
      </c>
      <c r="B99" s="8" t="s">
        <v>146</v>
      </c>
      <c r="C99" s="15" t="s">
        <v>139</v>
      </c>
      <c r="D99" s="8" t="s">
        <v>90</v>
      </c>
      <c r="E99" s="8" t="s">
        <v>66</v>
      </c>
      <c r="F99" s="8" t="s">
        <v>145</v>
      </c>
      <c r="G99" s="8" t="s">
        <v>50</v>
      </c>
      <c r="H99" s="11">
        <v>0.5</v>
      </c>
      <c r="I99" s="11">
        <v>0.58333333333333337</v>
      </c>
      <c r="J99" s="10">
        <v>46062</v>
      </c>
      <c r="K99" s="10">
        <v>46069</v>
      </c>
      <c r="L99" s="10">
        <v>46076</v>
      </c>
      <c r="M99" s="10">
        <v>46083</v>
      </c>
      <c r="N99" s="10">
        <v>46090</v>
      </c>
      <c r="O99" s="7">
        <v>46097</v>
      </c>
      <c r="P99" s="7">
        <v>46104</v>
      </c>
      <c r="Q99" s="7">
        <v>46125</v>
      </c>
      <c r="R99" s="7">
        <v>46139</v>
      </c>
      <c r="S99" s="7">
        <v>46146</v>
      </c>
      <c r="T99" s="13"/>
      <c r="U99" s="13"/>
      <c r="V99" s="13"/>
      <c r="W99" s="13"/>
      <c r="X99" s="13"/>
      <c r="Y99" s="13"/>
      <c r="Z99" s="10" cm="1">
        <f t="array" ref="Z99">LOOKUP(2,1/(A99:Y99&lt;&gt;""),A99:Y99)</f>
        <v>46146</v>
      </c>
      <c r="AA99" s="8" t="str">
        <f t="shared" si="3"/>
        <v>מאי</v>
      </c>
    </row>
    <row r="100" spans="1:27" ht="25.1" customHeight="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</row>
    <row r="101" spans="1:27" ht="25.1" customHeight="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</row>
    <row r="102" spans="1:27" ht="25.1" customHeigh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</row>
    <row r="103" spans="1:27" ht="25.1" customHeight="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</row>
    <row r="104" spans="1:27" ht="25.1" customHeight="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</row>
    <row r="105" spans="1:27" ht="25.1" customHeight="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</row>
    <row r="106" spans="1:27" ht="25.1" customHeight="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</row>
    <row r="107" spans="1:27" ht="25.1" customHeight="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</row>
    <row r="108" spans="1:27" ht="25.1" customHeight="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</row>
    <row r="109" spans="1:27" ht="25.1" customHeight="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</row>
    <row r="110" spans="1:27" ht="25.1" customHeight="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</row>
    <row r="111" spans="1:27" ht="25.1" customHeigh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</row>
    <row r="112" spans="1:27" ht="25.1" customHeight="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</row>
    <row r="113" spans="1:16" ht="25.1" customHeight="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</row>
    <row r="114" spans="1:16" ht="25.1" customHeigh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</row>
    <row r="115" spans="1:16" ht="25.1" customHeight="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</row>
    <row r="116" spans="1:16" ht="25.1" customHeight="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</row>
    <row r="117" spans="1:16" ht="25.1" customHeight="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</row>
    <row r="118" spans="1:16" ht="25.1" customHeight="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</row>
    <row r="119" spans="1:16" ht="25.1" customHeight="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</row>
    <row r="120" spans="1:16" ht="25.1" customHeight="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</row>
    <row r="121" spans="1:16" ht="25.1" customHeight="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</row>
    <row r="122" spans="1:16" ht="25.1" customHeight="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</row>
    <row r="123" spans="1:16" ht="25.1" customHeigh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</row>
    <row r="124" spans="1:16" ht="25.1" customHeight="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</row>
    <row r="125" spans="1:16" ht="25.1" customHeight="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</row>
    <row r="126" spans="1:16" ht="25.1" customHeight="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</row>
    <row r="127" spans="1:16" ht="25.1" customHeight="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</row>
    <row r="128" spans="1:16" ht="25.1" customHeight="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</row>
    <row r="129" spans="1:16" ht="25.1" customHeight="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</row>
    <row r="130" spans="1:16" ht="25.1" customHeight="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</row>
    <row r="131" spans="1:16" ht="25.1" customHeight="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</row>
    <row r="132" spans="1:16" ht="25.1" customHeight="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</row>
    <row r="133" spans="1:16" ht="25.1" customHeight="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</row>
    <row r="134" spans="1:16" ht="25.1" customHeight="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</row>
    <row r="135" spans="1:16" ht="25.1" customHeight="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</row>
    <row r="136" spans="1:16" ht="25.1" customHeight="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</row>
    <row r="137" spans="1:16" ht="25.1" customHeight="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</row>
    <row r="138" spans="1:16" ht="25.1" customHeight="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</row>
    <row r="139" spans="1:16" ht="25.1" customHeight="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</row>
    <row r="140" spans="1:16" ht="25.1" customHeight="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</row>
    <row r="141" spans="1:16" ht="25.1" customHeight="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</row>
    <row r="142" spans="1:16" ht="25.1" customHeight="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</row>
    <row r="143" spans="1:16" ht="25.1" customHeight="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</row>
    <row r="144" spans="1:16" ht="25.1" customHeight="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</row>
    <row r="145" spans="1:16" ht="25.1" customHeight="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</row>
    <row r="146" spans="1:16" ht="25.1" customHeight="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</row>
    <row r="147" spans="1:16" ht="25.1" customHeight="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</row>
    <row r="148" spans="1:16" ht="25.1" customHeight="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</row>
    <row r="149" spans="1:16" ht="25.1" customHeight="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</row>
    <row r="150" spans="1:16" ht="25.1" customHeight="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</row>
    <row r="151" spans="1:16" ht="25.1" customHeight="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עידן נחום</cp:lastModifiedBy>
  <dcterms:created xsi:type="dcterms:W3CDTF">2025-10-29T22:38:19Z</dcterms:created>
  <dcterms:modified xsi:type="dcterms:W3CDTF">2026-02-07T16:45:19Z</dcterms:modified>
</cp:coreProperties>
</file>