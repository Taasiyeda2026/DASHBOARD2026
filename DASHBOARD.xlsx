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an\Downloads\דשבורד סטטוס\"/>
    </mc:Choice>
  </mc:AlternateContent>
  <xr:revisionPtr revIDLastSave="0" documentId="13_ncr:1_{6019FDCA-4930-4C9D-9092-82FA82CDF822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1" sheetId="1" r:id="rId1"/>
  </sheets>
  <definedNames>
    <definedName name="_xlnm._FilterDatabase" localSheetId="0" hidden="1">Sheet1!$A$1:$AA$90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90" i="1" l="1" a="1"/>
  <c r="Z90" i="1" s="1"/>
  <c r="AA90" i="1" s="1"/>
  <c r="Z89" i="1" a="1"/>
  <c r="Z89" i="1" s="1"/>
  <c r="AA89" i="1" s="1"/>
  <c r="Z88" i="1" a="1"/>
  <c r="Z88" i="1" s="1"/>
  <c r="AA88" i="1" s="1"/>
  <c r="Z87" i="1" a="1"/>
  <c r="Z87" i="1" s="1"/>
  <c r="AA87" i="1" s="1"/>
  <c r="Z86" i="1" a="1"/>
  <c r="Z86" i="1" s="1"/>
  <c r="AA86" i="1" s="1"/>
  <c r="Z85" i="1" a="1"/>
  <c r="Z85" i="1" s="1"/>
  <c r="AA85" i="1" s="1"/>
  <c r="Z84" i="1" a="1"/>
  <c r="Z84" i="1" s="1"/>
  <c r="AA84" i="1" s="1"/>
  <c r="Z83" i="1" a="1"/>
  <c r="Z83" i="1" s="1"/>
  <c r="AA83" i="1" s="1"/>
  <c r="Z82" i="1" a="1"/>
  <c r="Z82" i="1" s="1"/>
  <c r="AA82" i="1" s="1"/>
  <c r="Z81" i="1" a="1"/>
  <c r="Z81" i="1" s="1"/>
  <c r="AA81" i="1" s="1"/>
  <c r="Z80" i="1" a="1"/>
  <c r="Z80" i="1" s="1"/>
  <c r="AA80" i="1" s="1"/>
  <c r="Z79" i="1" a="1"/>
  <c r="Z79" i="1" s="1"/>
  <c r="AA79" i="1" s="1"/>
  <c r="Z78" i="1" a="1"/>
  <c r="Z78" i="1" s="1"/>
  <c r="AA78" i="1" s="1"/>
  <c r="Z77" i="1" a="1"/>
  <c r="Z77" i="1" s="1"/>
  <c r="AA77" i="1" s="1"/>
  <c r="Z76" i="1" a="1"/>
  <c r="Z76" i="1" s="1"/>
  <c r="AA76" i="1" s="1"/>
  <c r="Z75" i="1" a="1"/>
  <c r="Z75" i="1" s="1"/>
  <c r="AA75" i="1" s="1"/>
  <c r="Z74" i="1" a="1"/>
  <c r="Z74" i="1" s="1"/>
  <c r="AA74" i="1" s="1"/>
  <c r="Z73" i="1" a="1"/>
  <c r="Z73" i="1" s="1"/>
  <c r="AA73" i="1" s="1"/>
  <c r="Z72" i="1" a="1"/>
  <c r="Z72" i="1" s="1"/>
  <c r="AA72" i="1" s="1"/>
  <c r="Z71" i="1" a="1"/>
  <c r="Z71" i="1" s="1"/>
  <c r="AA71" i="1" s="1"/>
  <c r="Z70" i="1" a="1"/>
  <c r="Z70" i="1" s="1"/>
  <c r="AA70" i="1" s="1"/>
  <c r="Z69" i="1" a="1"/>
  <c r="Z69" i="1" s="1"/>
  <c r="AA69" i="1" s="1"/>
  <c r="Z68" i="1" a="1"/>
  <c r="Z68" i="1" s="1"/>
  <c r="AA68" i="1" s="1"/>
  <c r="Z67" i="1" a="1"/>
  <c r="Z67" i="1" s="1"/>
  <c r="AA67" i="1" s="1"/>
  <c r="Z66" i="1" a="1"/>
  <c r="Z66" i="1" s="1"/>
  <c r="AA66" i="1" s="1"/>
  <c r="Z65" i="1" a="1"/>
  <c r="Z65" i="1" s="1"/>
  <c r="AA65" i="1" s="1"/>
  <c r="Z64" i="1" a="1"/>
  <c r="Z64" i="1" s="1"/>
  <c r="AA64" i="1" s="1"/>
  <c r="Z63" i="1" a="1"/>
  <c r="Z63" i="1" s="1"/>
  <c r="AA63" i="1" s="1"/>
  <c r="Z62" i="1" a="1"/>
  <c r="Z62" i="1" s="1"/>
  <c r="AA62" i="1" s="1"/>
  <c r="Z61" i="1" a="1"/>
  <c r="Z61" i="1" s="1"/>
  <c r="AA61" i="1" s="1"/>
  <c r="Z60" i="1" a="1"/>
  <c r="Z60" i="1" s="1"/>
  <c r="AA60" i="1" s="1"/>
  <c r="Z59" i="1" a="1"/>
  <c r="Z59" i="1" s="1"/>
  <c r="AA59" i="1" s="1"/>
  <c r="Z58" i="1" a="1"/>
  <c r="Z58" i="1" s="1"/>
  <c r="AA58" i="1" s="1"/>
  <c r="Z57" i="1" a="1"/>
  <c r="Z57" i="1" s="1"/>
  <c r="AA57" i="1" s="1"/>
  <c r="Z56" i="1" a="1"/>
  <c r="Z56" i="1" s="1"/>
  <c r="AA56" i="1" s="1"/>
  <c r="Z55" i="1" a="1"/>
  <c r="Z55" i="1" s="1"/>
  <c r="AA55" i="1" s="1"/>
  <c r="Z54" i="1" a="1"/>
  <c r="Z54" i="1" s="1"/>
  <c r="AA54" i="1" s="1"/>
  <c r="Z53" i="1" a="1"/>
  <c r="Z53" i="1" s="1"/>
  <c r="AA53" i="1" s="1"/>
  <c r="Z52" i="1" a="1"/>
  <c r="Z52" i="1" s="1"/>
  <c r="AA52" i="1" s="1"/>
  <c r="Z51" i="1" a="1"/>
  <c r="Z51" i="1" s="1"/>
  <c r="AA51" i="1" s="1"/>
  <c r="Z50" i="1" a="1"/>
  <c r="Z50" i="1" s="1"/>
  <c r="AA50" i="1" s="1"/>
  <c r="Z49" i="1" a="1"/>
  <c r="Z49" i="1" s="1"/>
  <c r="AA49" i="1" s="1"/>
  <c r="Z48" i="1" a="1"/>
  <c r="Z48" i="1" s="1"/>
  <c r="AA48" i="1" s="1"/>
  <c r="Z47" i="1" a="1"/>
  <c r="Z47" i="1" s="1"/>
  <c r="AA47" i="1" s="1"/>
  <c r="Z46" i="1" a="1"/>
  <c r="Z46" i="1" s="1"/>
  <c r="AA46" i="1" s="1"/>
  <c r="Z45" i="1" a="1"/>
  <c r="Z45" i="1" s="1"/>
  <c r="AA45" i="1" s="1"/>
  <c r="Z44" i="1" a="1"/>
  <c r="Z44" i="1" s="1"/>
  <c r="AA44" i="1" s="1"/>
  <c r="Z43" i="1" a="1"/>
  <c r="Z43" i="1" s="1"/>
  <c r="AA43" i="1" s="1"/>
  <c r="Z42" i="1" a="1"/>
  <c r="Z42" i="1" s="1"/>
  <c r="AA42" i="1" s="1"/>
  <c r="Z41" i="1" a="1"/>
  <c r="Z41" i="1" s="1"/>
  <c r="AA41" i="1" s="1"/>
  <c r="Z40" i="1" a="1"/>
  <c r="Z40" i="1" s="1"/>
  <c r="AA40" i="1" s="1"/>
  <c r="Z39" i="1" a="1"/>
  <c r="Z39" i="1" s="1"/>
  <c r="AA39" i="1" s="1"/>
  <c r="Z38" i="1" a="1"/>
  <c r="Z38" i="1" s="1"/>
  <c r="AA38" i="1" s="1"/>
  <c r="Z37" i="1" a="1"/>
  <c r="Z37" i="1" s="1"/>
  <c r="AA37" i="1" s="1"/>
  <c r="Z36" i="1" a="1"/>
  <c r="Z36" i="1" s="1"/>
  <c r="AA36" i="1" s="1"/>
  <c r="Z35" i="1" a="1"/>
  <c r="Z35" i="1" s="1"/>
  <c r="AA35" i="1" s="1"/>
  <c r="Z34" i="1" a="1"/>
  <c r="Z34" i="1" s="1"/>
  <c r="AA34" i="1" s="1"/>
  <c r="Z33" i="1" a="1"/>
  <c r="Z33" i="1" s="1"/>
  <c r="AA33" i="1" s="1"/>
  <c r="Z32" i="1" a="1"/>
  <c r="Z32" i="1" s="1"/>
  <c r="AA32" i="1" s="1"/>
  <c r="Z31" i="1" a="1"/>
  <c r="Z31" i="1" s="1"/>
  <c r="AA31" i="1" s="1"/>
  <c r="Z30" i="1" a="1"/>
  <c r="Z30" i="1" s="1"/>
  <c r="AA30" i="1" s="1"/>
  <c r="Z29" i="1" a="1"/>
  <c r="Z29" i="1" s="1"/>
  <c r="AA29" i="1" s="1"/>
  <c r="Z28" i="1" a="1"/>
  <c r="Z28" i="1" s="1"/>
  <c r="AA28" i="1" s="1"/>
  <c r="Z27" i="1" a="1"/>
  <c r="Z27" i="1" s="1"/>
  <c r="AA27" i="1" s="1"/>
  <c r="Z26" i="1" a="1"/>
  <c r="Z26" i="1" s="1"/>
  <c r="AA26" i="1" s="1"/>
  <c r="Z25" i="1" a="1"/>
  <c r="Z25" i="1" s="1"/>
  <c r="AA25" i="1" s="1"/>
  <c r="Z24" i="1" a="1"/>
  <c r="Z24" i="1" s="1"/>
  <c r="AA24" i="1" s="1"/>
  <c r="Z23" i="1" a="1"/>
  <c r="Z23" i="1" s="1"/>
  <c r="AA23" i="1" s="1"/>
  <c r="Z22" i="1" a="1"/>
  <c r="Z22" i="1" s="1"/>
  <c r="AA22" i="1" s="1"/>
  <c r="Z21" i="1" a="1"/>
  <c r="Z21" i="1" s="1"/>
  <c r="AA21" i="1" s="1"/>
  <c r="Z20" i="1" a="1"/>
  <c r="Z20" i="1" s="1"/>
  <c r="AA20" i="1" s="1"/>
  <c r="Z19" i="1" a="1"/>
  <c r="Z19" i="1" s="1"/>
  <c r="AA19" i="1" s="1"/>
  <c r="Z18" i="1" a="1"/>
  <c r="Z18" i="1" s="1"/>
  <c r="AA18" i="1" s="1"/>
  <c r="Z17" i="1" a="1"/>
  <c r="Z17" i="1" s="1"/>
  <c r="AA17" i="1" s="1"/>
  <c r="Z16" i="1" a="1"/>
  <c r="Z16" i="1" s="1"/>
  <c r="AA16" i="1" s="1"/>
  <c r="Z15" i="1" a="1"/>
  <c r="Z15" i="1" s="1"/>
  <c r="AA15" i="1" s="1"/>
  <c r="Z14" i="1" a="1"/>
  <c r="Z14" i="1" s="1"/>
  <c r="AA14" i="1" s="1"/>
  <c r="Z13" i="1" a="1"/>
  <c r="Z13" i="1" s="1"/>
  <c r="AA13" i="1" s="1"/>
  <c r="Z12" i="1" a="1"/>
  <c r="Z12" i="1" s="1"/>
  <c r="AA12" i="1" s="1"/>
  <c r="Z11" i="1" a="1"/>
  <c r="Z11" i="1" s="1"/>
  <c r="AA11" i="1" s="1"/>
  <c r="Z10" i="1" a="1"/>
  <c r="Z10" i="1" s="1"/>
  <c r="AA10" i="1" s="1"/>
  <c r="Z9" i="1" a="1"/>
  <c r="Z9" i="1" s="1"/>
  <c r="AA9" i="1" s="1"/>
  <c r="Z8" i="1" a="1"/>
  <c r="Z8" i="1" s="1"/>
  <c r="AA8" i="1" s="1"/>
  <c r="Z7" i="1" a="1"/>
  <c r="Z7" i="1" s="1"/>
  <c r="AA7" i="1" s="1"/>
  <c r="Z6" i="1" a="1"/>
  <c r="Z6" i="1" s="1"/>
  <c r="AA6" i="1" s="1"/>
  <c r="Z5" i="1" a="1"/>
  <c r="Z5" i="1" s="1"/>
  <c r="AA5" i="1" s="1"/>
  <c r="Z4" i="1" a="1"/>
  <c r="Z4" i="1" s="1"/>
  <c r="AA4" i="1" s="1"/>
  <c r="Z3" i="1" a="1"/>
  <c r="Z3" i="1" s="1"/>
  <c r="AA3" i="1" s="1"/>
  <c r="Z2" i="1" a="1"/>
  <c r="Z2" i="1" s="1"/>
  <c r="AA2" i="1" s="1"/>
</calcChain>
</file>

<file path=xl/sharedStrings.xml><?xml version="1.0" encoding="utf-8"?>
<sst xmlns="http://schemas.openxmlformats.org/spreadsheetml/2006/main" count="1659" uniqueCount="322">
  <si>
    <t>Employee</t>
  </si>
  <si>
    <t>Program</t>
  </si>
  <si>
    <t>Authority</t>
  </si>
  <si>
    <t>Manager</t>
  </si>
  <si>
    <t>School</t>
  </si>
  <si>
    <t>Day</t>
  </si>
  <si>
    <t>StartTime</t>
  </si>
  <si>
    <t>EndTime</t>
  </si>
  <si>
    <t>Date1</t>
  </si>
  <si>
    <t>Date2</t>
  </si>
  <si>
    <t>Date3</t>
  </si>
  <si>
    <t>Date4</t>
  </si>
  <si>
    <t>Date5</t>
  </si>
  <si>
    <t>Date6</t>
  </si>
  <si>
    <t>Date7</t>
  </si>
  <si>
    <t>Date8</t>
  </si>
  <si>
    <t>Date9</t>
  </si>
  <si>
    <t>Date10</t>
  </si>
  <si>
    <t>Date11</t>
  </si>
  <si>
    <t>Date12</t>
  </si>
  <si>
    <t>Date13</t>
  </si>
  <si>
    <t>Date14</t>
  </si>
  <si>
    <t>Date15</t>
  </si>
  <si>
    <t>Date16</t>
  </si>
  <si>
    <t>פורים</t>
  </si>
  <si>
    <t>פסח</t>
  </si>
  <si>
    <t>ערב יום הזיכרון</t>
  </si>
  <si>
    <t>יום הזיכרון</t>
  </si>
  <si>
    <t>יום העצמאות</t>
  </si>
  <si>
    <t>ל״ג בעומר</t>
  </si>
  <si>
    <t>שבועות</t>
  </si>
  <si>
    <t>הנאא אבו אמזה</t>
  </si>
  <si>
    <t>ביומימיקרי</t>
  </si>
  <si>
    <t>ג'דיידה מכר</t>
  </si>
  <si>
    <t>גיל נאמן</t>
  </si>
  <si>
    <t>ג'דיידה יסודי</t>
  </si>
  <si>
    <t>חמישי</t>
  </si>
  <si>
    <t>יונתן יהונתן פתייה</t>
  </si>
  <si>
    <t>ירושלים</t>
  </si>
  <si>
    <t>ביכורים</t>
  </si>
  <si>
    <t>רביעי</t>
  </si>
  <si>
    <t>מנהיגות ירוקה</t>
  </si>
  <si>
    <t>מטה יהודה</t>
  </si>
  <si>
    <t>שלישי</t>
  </si>
  <si>
    <t>נווה שלום</t>
  </si>
  <si>
    <t>בינה מלאכותית</t>
  </si>
  <si>
    <t>עכו</t>
  </si>
  <si>
    <t>גורדון</t>
  </si>
  <si>
    <t>שני</t>
  </si>
  <si>
    <t>עמק הירדן - אשדות יעקב</t>
  </si>
  <si>
    <t>מול גלעד</t>
  </si>
  <si>
    <t>ביומימיקרי לחטיבה</t>
  </si>
  <si>
    <t>עמק הירדן - גינוסר</t>
  </si>
  <si>
    <t>נופי ארבל</t>
  </si>
  <si>
    <t>עמק הירדן - כנרת</t>
  </si>
  <si>
    <t>עמק הירדן - כנרת (ע"ש נעמי שמר)</t>
  </si>
  <si>
    <t>טכנולוגיות החלל</t>
  </si>
  <si>
    <t>קריית טבעון</t>
  </si>
  <si>
    <t>כפר הנוער רמת הדסה</t>
  </si>
  <si>
    <t>ברקת קטעי</t>
  </si>
  <si>
    <t>קריית שמונה</t>
  </si>
  <si>
    <t>עוזיאל</t>
  </si>
  <si>
    <t>אלכס זפקה</t>
  </si>
  <si>
    <t>יבנה</t>
  </si>
  <si>
    <t>לינוי שמואל מזרחי</t>
  </si>
  <si>
    <t>פרדס צפוני</t>
  </si>
  <si>
    <t>ראשון</t>
  </si>
  <si>
    <t>עליזה מולה</t>
  </si>
  <si>
    <t>רוקחים עולם</t>
  </si>
  <si>
    <t>יד בנימין</t>
  </si>
  <si>
    <t>ליאל בן חמו</t>
  </si>
  <si>
    <t>מ.א חוף אשקלון</t>
  </si>
  <si>
    <t>ניצני קטיף</t>
  </si>
  <si>
    <t>שישי</t>
  </si>
  <si>
    <t>אפרת אוחיון</t>
  </si>
  <si>
    <t>שדות סילבר</t>
  </si>
  <si>
    <t>פורצות דרך</t>
  </si>
  <si>
    <t>מודיעין</t>
  </si>
  <si>
    <t>תיכון ב'</t>
  </si>
  <si>
    <t>אלדר מיכאל טייב</t>
  </si>
  <si>
    <t>שפיר</t>
  </si>
  <si>
    <t>אבן שמואל</t>
  </si>
  <si>
    <t>בי"ס שפיר</t>
  </si>
  <si>
    <t>אשקלון</t>
  </si>
  <si>
    <t>בי"ס אילנות</t>
  </si>
  <si>
    <t>בראשית</t>
  </si>
  <si>
    <t>באר שבע</t>
  </si>
  <si>
    <t>התומר</t>
  </si>
  <si>
    <t>שדרות</t>
  </si>
  <si>
    <t>שקמים</t>
  </si>
  <si>
    <t>אשדוד</t>
  </si>
  <si>
    <t>מקיף ה'</t>
  </si>
  <si>
    <t>נבון</t>
  </si>
  <si>
    <t>הילה רוזן</t>
  </si>
  <si>
    <t>רמלה</t>
  </si>
  <si>
    <t>יצחק שמיר</t>
  </si>
  <si>
    <t>תמר שפיר</t>
  </si>
  <si>
    <t>אשכול</t>
  </si>
  <si>
    <t>מרחבי אשכול</t>
  </si>
  <si>
    <t>נס ציונה</t>
  </si>
  <si>
    <t>בן גוריון</t>
  </si>
  <si>
    <t>נהריה</t>
  </si>
  <si>
    <t>גולדה</t>
  </si>
  <si>
    <t>כרמית סמנדרוב</t>
  </si>
  <si>
    <t>ראשון לציון</t>
  </si>
  <si>
    <t>תיכון המעיין</t>
  </si>
  <si>
    <t>השמיים אינם הגבול</t>
  </si>
  <si>
    <t>מקיף ט'</t>
  </si>
  <si>
    <t>מיכל שכטמן</t>
  </si>
  <si>
    <t>אלון</t>
  </si>
  <si>
    <t>באר יעקב</t>
  </si>
  <si>
    <t>צאלון</t>
  </si>
  <si>
    <t>ירכא</t>
  </si>
  <si>
    <t>אל-אמין</t>
  </si>
  <si>
    <t>כסרא סמיע</t>
  </si>
  <si>
    <t>אלרואיא</t>
  </si>
  <si>
    <t>עין-קיניה</t>
  </si>
  <si>
    <t>ג'וליס</t>
  </si>
  <si>
    <t>בוקעתא</t>
  </si>
  <si>
    <t>מסעדה</t>
  </si>
  <si>
    <t>ראנה סאלח</t>
  </si>
  <si>
    <t>מג'דל שמס</t>
  </si>
  <si>
    <t>רחובות</t>
  </si>
  <si>
    <t>קציר</t>
  </si>
  <si>
    <t>סוהא סאלם</t>
  </si>
  <si>
    <t>דלית אל-כרמל</t>
  </si>
  <si>
    <t>קרן גורביץ</t>
  </si>
  <si>
    <t>מייקרים</t>
  </si>
  <si>
    <t>בנימינה</t>
  </si>
  <si>
    <t>מתנ"ס</t>
  </si>
  <si>
    <t>אביב בלנדר</t>
  </si>
  <si>
    <t>תלמידים להייטק</t>
  </si>
  <si>
    <t>EventType</t>
  </si>
  <si>
    <t>HOLIDAY</t>
  </si>
  <si>
    <t>COURSE</t>
  </si>
  <si>
    <t>End</t>
  </si>
  <si>
    <t>MonthEnd</t>
  </si>
  <si>
    <t>רמב"ם</t>
  </si>
  <si>
    <t>פרימיום</t>
  </si>
  <si>
    <t>דרכא ג'וליס</t>
  </si>
  <si>
    <t>האלה</t>
  </si>
  <si>
    <t>השחר</t>
  </si>
  <si>
    <t>יסודי עין נקובא- ראפה</t>
  </si>
  <si>
    <t xml:space="preserve">אסיל ג'בר </t>
  </si>
  <si>
    <t xml:space="preserve">מתיתיהו </t>
  </si>
  <si>
    <t>עין הרים</t>
  </si>
  <si>
    <t>קרוב</t>
  </si>
  <si>
    <t>ניצן</t>
  </si>
  <si>
    <t xml:space="preserve">ביומימיקרי </t>
  </si>
  <si>
    <t>חווה חקלאית - רננות</t>
  </si>
  <si>
    <t xml:space="preserve">אלאשראק </t>
  </si>
  <si>
    <t>הרצליה</t>
  </si>
  <si>
    <t>ויצו פנינים אילנות</t>
  </si>
  <si>
    <t>אוריה פדידה</t>
  </si>
  <si>
    <t>חט"ב ב'</t>
  </si>
  <si>
    <t xml:space="preserve">אילנה טיטייבסקי </t>
  </si>
  <si>
    <t>נתניה</t>
  </si>
  <si>
    <t>אלדד</t>
  </si>
  <si>
    <t>יישומי AI</t>
  </si>
  <si>
    <t>הגר פרירה קוראה</t>
  </si>
  <si>
    <t>טשרניחובסקי</t>
  </si>
  <si>
    <t>אביגדור שרון</t>
  </si>
  <si>
    <t>שרת</t>
  </si>
  <si>
    <t>תמר אריאל</t>
  </si>
  <si>
    <t>30/11/2025</t>
  </si>
  <si>
    <t>07/12/2025</t>
  </si>
  <si>
    <t>14/12/2025</t>
  </si>
  <si>
    <t>28/12/2025</t>
  </si>
  <si>
    <t>04/01/2026</t>
  </si>
  <si>
    <t>11/01/2026</t>
  </si>
  <si>
    <t>18/01/2026</t>
  </si>
  <si>
    <t>25/01/2026</t>
  </si>
  <si>
    <t>01/02/2026</t>
  </si>
  <si>
    <t>08/02/2026</t>
  </si>
  <si>
    <t>15/02/2026</t>
  </si>
  <si>
    <t>22/02/2026</t>
  </si>
  <si>
    <t>01/03/2026</t>
  </si>
  <si>
    <t>09/03/2026</t>
  </si>
  <si>
    <t>16/03/2026</t>
  </si>
  <si>
    <t>23/03/2026</t>
  </si>
  <si>
    <t>13/04/2026</t>
  </si>
  <si>
    <t>27/04/2026</t>
  </si>
  <si>
    <t>04/05/2026</t>
  </si>
  <si>
    <t>11/05/2026</t>
  </si>
  <si>
    <t>18/05/2026</t>
  </si>
  <si>
    <t>25/05/2026</t>
  </si>
  <si>
    <t>01/06/2026</t>
  </si>
  <si>
    <t>10/11/2025</t>
  </si>
  <si>
    <t>17/11/2025</t>
  </si>
  <si>
    <t>24/11/2025</t>
  </si>
  <si>
    <t>01/12/2025</t>
  </si>
  <si>
    <t>08/12/2025</t>
  </si>
  <si>
    <t>15/12/2025</t>
  </si>
  <si>
    <t>29/12/2025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</si>
  <si>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</si>
  <si>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</si>
  <si>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</si>
  <si>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</si>
  <si>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</si>
  <si>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</si>
  <si>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</si>
  <si>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</si>
  <si>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</si>
  <si>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25/11/2025</t>
  </si>
  <si>
    <t>02/12/2025</t>
  </si>
  <si>
    <t>09/12/2025</t>
  </si>
  <si>
    <t>23/12/2025</t>
  </si>
  <si>
    <t>30/12/2025</t>
  </si>
  <si>
    <t>06/01/2026</t>
  </si>
  <si>
    <t>13/01/2026</t>
  </si>
  <si>
    <t>20/01/2026</t>
  </si>
  <si>
    <t>27/01/2026</t>
  </si>
  <si>
    <t>03/02/2026</t>
  </si>
  <si>
    <t>28/10/2025</t>
  </si>
  <si>
    <t>04/11/2025</t>
  </si>
  <si>
    <t>11/11/2025</t>
  </si>
  <si>
    <t>18/11/2025</t>
  </si>
  <si>
    <t>19/11/2025</t>
  </si>
  <si>
    <t>26/11/2025</t>
  </si>
  <si>
    <t>03/12/2025</t>
  </si>
  <si>
    <t>10/12/2025</t>
  </si>
  <si>
    <t>24/12/2025</t>
  </si>
  <si>
    <t>31/12/2025</t>
  </si>
  <si>
    <t>07/01/2026</t>
  </si>
  <si>
    <t>14/01/2026</t>
  </si>
  <si>
    <t>21/01/2026</t>
  </si>
  <si>
    <t>28/01/2026</t>
  </si>
  <si>
    <t>04/02/2026</t>
  </si>
  <si>
    <t>10/02/2026</t>
  </si>
  <si>
    <t>17/02/2026</t>
  </si>
  <si>
    <t>24/02/2026</t>
  </si>
  <si>
    <t>10/03/2026</t>
  </si>
  <si>
    <t>17/03/2026</t>
  </si>
  <si>
    <t>14/04/2026</t>
  </si>
  <si>
    <t>28/04/2026</t>
  </si>
  <si>
    <t>05/05/2026</t>
  </si>
  <si>
    <t>11/02/2026</t>
  </si>
  <si>
    <t>18/02/2026</t>
  </si>
  <si>
    <t>25/02/2026</t>
  </si>
  <si>
    <t>11/03/2026</t>
  </si>
  <si>
    <t>18/03/2026</t>
  </si>
  <si>
    <t>15/04/2026</t>
  </si>
  <si>
    <t>29/04/2026</t>
  </si>
  <si>
    <t>06/05/2026</t>
  </si>
  <si>
    <t>4/09/2025</t>
  </si>
  <si>
    <t>11/09/2025</t>
  </si>
  <si>
    <t>18/09/2025</t>
  </si>
  <si>
    <t>25/09/2025</t>
  </si>
  <si>
    <t>16/10/2025</t>
  </si>
  <si>
    <t>23/10/2025</t>
  </si>
  <si>
    <t>30/10/2025</t>
  </si>
  <si>
    <t>06/11/2025</t>
  </si>
  <si>
    <t>13/11/2025</t>
  </si>
  <si>
    <t>20/11/2025</t>
  </si>
  <si>
    <t>27/11/2025</t>
  </si>
  <si>
    <t>04/12/2025</t>
  </si>
  <si>
    <t>11/12/2025</t>
  </si>
  <si>
    <t>25/12/2025</t>
  </si>
  <si>
    <t>01/01/2026</t>
  </si>
  <si>
    <t>08/01/2026</t>
  </si>
  <si>
    <t>02/11/2025</t>
  </si>
  <si>
    <t>09/11/2025</t>
  </si>
  <si>
    <t>16/11/2025</t>
  </si>
  <si>
    <t>23/11/2025</t>
  </si>
  <si>
    <t>22/01/2026</t>
  </si>
  <si>
    <t>29/01/2026</t>
  </si>
  <si>
    <t>05/02/2026</t>
  </si>
  <si>
    <t>12/02/2026</t>
  </si>
  <si>
    <t>19/02/2026</t>
  </si>
  <si>
    <t>26/02/2026</t>
  </si>
  <si>
    <t>05/03/2026</t>
  </si>
  <si>
    <t>12/03/2026</t>
  </si>
  <si>
    <t>19/03/2026</t>
  </si>
  <si>
    <t>09/04/2026</t>
  </si>
  <si>
    <t>15/01/2026</t>
  </si>
  <si>
    <t>04/01/2025</t>
  </si>
  <si>
    <t>29/10/2025</t>
  </si>
  <si>
    <t>05/11/2025</t>
  </si>
  <si>
    <t>12/11/2025</t>
  </si>
  <si>
    <t>05/12/2025</t>
  </si>
  <si>
    <t>12/12/2025</t>
  </si>
  <si>
    <t>26/12/2025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</si>
  <si>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</si>
  <si>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</si>
  <si>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</si>
  <si>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</si>
  <si>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</si>
  <si>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</si>
  <si>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</si>
  <si>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</si>
  <si>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</si>
  <si>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06/03/2026</t>
  </si>
  <si>
    <t>13/03/2026</t>
  </si>
  <si>
    <t>13/05/2026</t>
  </si>
  <si>
    <t>20/05/2026</t>
  </si>
  <si>
    <t>27/05/2026</t>
  </si>
  <si>
    <t>03/06/2026</t>
  </si>
  <si>
    <t>10/06/2026</t>
  </si>
  <si>
    <t>17/06/2026</t>
  </si>
  <si>
    <t>14/09/2025</t>
  </si>
  <si>
    <t>21/09/2025</t>
  </si>
  <si>
    <t>28/09/2025</t>
  </si>
  <si>
    <t>19/10/2025</t>
  </si>
  <si>
    <t>26/10/2025</t>
  </si>
  <si>
    <t>24/03/2026</t>
  </si>
  <si>
    <t>12/05/2026</t>
  </si>
  <si>
    <t>19/05/2026</t>
  </si>
  <si>
    <t>21/10/2025</t>
  </si>
  <si>
    <t>22/10/2025</t>
  </si>
  <si>
    <t>08/03/2026</t>
  </si>
  <si>
    <t>15/03/2026</t>
  </si>
  <si>
    <t>22/03/2026</t>
  </si>
  <si>
    <t>16/04/2026</t>
  </si>
  <si>
    <t>23/04/2026</t>
  </si>
  <si>
    <t>12/04/2026</t>
  </si>
  <si>
    <t>19/04/2026</t>
  </si>
  <si>
    <t>26/04/2026</t>
  </si>
  <si>
    <t>03/05/2026</t>
  </si>
  <si>
    <t>10/05/2026</t>
  </si>
  <si>
    <t>17/05/2026</t>
  </si>
  <si>
    <t>24/05/2026</t>
  </si>
  <si>
    <t>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</si>
</sst>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000000]h:mm;@"/>
    <numFmt numFmtId="165" formatCode="yyyy\-mm\-dd"/>
  </numFmts>
  <fonts count="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9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6" fillId="0" borderId="0"/>
    <xf numFmtId="0" fontId="2" fillId="0" borderId="0"/>
    <xf numFmtId="0" fontId="2" fillId="0" borderId="0"/>
    <xf numFmtId="43" fontId="2" fillId="0" borderId="0"/>
    <xf numFmtId="43" fontId="6" fillId="0" borderId="0"/>
    <xf numFmtId="0" fontId="7" fillId="0" borderId="0"/>
    <xf numFmtId="43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4" fillId="2" borderId="0" xfId="0" applyFont="1" applyFill="1"/>
    <xf numFmtId="0" fontId="0" fillId="0" borderId="0" xfId="0"/>
    <xf numFmtId="164" fontId="0" fillId="0" borderId="0" xfId="0" applyNumberFormat="1" applyAlignment="1">
      <alignment horizontal="center"/>
    </xf>
    <xf numFmtId="0" fontId="5" fillId="2" borderId="0" xfId="0" applyFont="1" applyFill="1"/>
    <xf numFmtId="20" fontId="3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8" fillId="0" borderId="1" xfId="0" applyFont="1" applyBorder="1"/>
    <xf numFmtId="165" fontId="4" fillId="2" borderId="1" xfId="0" applyNumberFormat="1" applyFont="1" applyFill="1" applyBorder="1"/>
    <xf numFmtId="20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20" fontId="4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/>
    <xf numFmtId="14" fontId="4" fillId="2" borderId="1" xfId="0" applyNumberFormat="1" applyFont="1" applyFill="1" applyBorder="1"/>
  </cellXfs>
  <cellStyles count="15">
    <cellStyle name="Comma 2" xfId="7" xr:uid="{00000000-0005-0000-0000-000007000000}"/>
    <cellStyle name="Comma 2 2" xfId="14" xr:uid="{A697A9F4-2CB9-43FF-B677-30B8BEC4C915}"/>
    <cellStyle name="Comma 2 4" xfId="4" xr:uid="{00000000-0005-0000-0000-000004000000}"/>
    <cellStyle name="Comma 2 4 2" xfId="11" xr:uid="{64A73DA3-9DF7-4565-A135-E8353E2DE5DF}"/>
    <cellStyle name="Comma 3" xfId="5" xr:uid="{00000000-0005-0000-0000-000005000000}"/>
    <cellStyle name="Comma 3 2" xfId="12" xr:uid="{766E5B9F-6C7D-4208-B7B2-378EA145CC33}"/>
    <cellStyle name="Comma 4" xfId="1" xr:uid="{00000000-0005-0000-0000-000001000000}"/>
    <cellStyle name="Comma 5" xfId="8" xr:uid="{299B8A52-EE0C-4B62-81B9-7AF43A821838}"/>
    <cellStyle name="Hyperlink" xfId="6" xr:uid="{00000000-0005-0000-0000-000006000000}"/>
    <cellStyle name="Hyperlink 2" xfId="13" xr:uid="{D5AAC47D-58DB-4575-890F-32EF730B57A3}"/>
    <cellStyle name="Normal" xfId="0" builtinId="0"/>
    <cellStyle name="Normal 2 3 2" xfId="3" xr:uid="{00000000-0005-0000-0000-000003000000}"/>
    <cellStyle name="Normal 2 3 2 2" xfId="10" xr:uid="{1852CCB3-53E8-4FE1-A3AD-60A2F4C5858B}"/>
    <cellStyle name="Normal 2 4" xfId="2" xr:uid="{00000000-0005-0000-0000-000002000000}"/>
    <cellStyle name="Normal 2 4 2" xfId="9" xr:uid="{AEA81B4F-4F2A-447B-9173-661AA1EA84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"/>
  <sheetViews>
    <sheetView rightToLeft="1" tabSelected="1" zoomScale="40" zoomScaleNormal="40" workbookViewId="0">
      <pane ySplit="1" topLeftCell="A2" activePane="bottomLeft" state="frozen"/>
      <selection pane="bottomLeft" sqref="A1:F1048576"/>
    </sheetView>
  </sheetViews>
  <sheetFormatPr defaultRowHeight="25.1" customHeight="1"/>
  <cols>
    <col min="1" max="1" width="10.1796875" style="2" bestFit="1" customWidth="1"/>
    <col min="2" max="2" width="12" style="2" bestFit="1" customWidth="1"/>
    <col min="3" max="3" width="12" style="2" customWidth="1"/>
    <col min="4" max="7" width="10.36328125" style="2" customWidth="1"/>
    <col min="8" max="9" width="10.36328125" style="3" customWidth="1"/>
    <col min="10" max="25" width="10.81640625" style="2" customWidth="1"/>
    <col min="26" max="27" width="11" style="2" customWidth="1"/>
    <col min="28" max="28" width="8.7265625" style="2" customWidth="1"/>
    <col min="29" max="16384" width="8.7265625" style="2"/>
  </cols>
  <sheetData>
    <row r="1" spans="1:27" s="1" customFormat="1" ht="25.1" customHeight="1">
      <c r="A1" s="10" t="s">
        <v>0</v>
      </c>
      <c r="B1" s="10" t="s">
        <v>1</v>
      </c>
      <c r="C1" s="10" t="s">
        <v>132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6" t="s">
        <v>135</v>
      </c>
      <c r="AA1" s="6" t="s">
        <v>136</v>
      </c>
    </row>
    <row r="2" spans="1:27" s="1" customFormat="1" ht="25.1" customHeight="1">
      <c r="A2" s="6" t="s">
        <v>70</v>
      </c>
      <c r="B2" s="6" t="s">
        <v>45</v>
      </c>
      <c r="C2" s="11" t="s">
        <v>134</v>
      </c>
      <c r="D2" s="6" t="s">
        <v>71</v>
      </c>
      <c r="E2" s="6" t="s">
        <v>64</v>
      </c>
      <c r="F2" s="6" t="s">
        <v>147</v>
      </c>
      <c r="G2" s="6" t="s">
        <v>66</v>
      </c>
      <c r="H2" s="9">
        <v>0.36805555555555558</v>
      </c>
      <c r="I2" s="9">
        <v>0.4513888888888889</v>
      </c>
      <c r="J2" s="14" t="s">
        <v>164</v>
      </c>
      <c r="K2" s="14" t="s">
        <v>165</v>
      </c>
      <c r="L2" s="14" t="s">
        <v>166</v>
      </c>
      <c r="M2" s="14" t="s">
        <v>167</v>
      </c>
      <c r="N2" s="14" t="s">
        <v>168</v>
      </c>
      <c r="O2" s="14" t="s">
        <v>169</v>
      </c>
      <c r="P2" s="14" t="s">
        <v>170</v>
      </c>
      <c r="Q2" s="14" t="s">
        <v>171</v>
      </c>
      <c r="R2" s="14" t="s">
        <v>172</v>
      </c>
      <c r="S2" s="8"/>
      <c r="T2" s="14"/>
      <c r="U2" s="14"/>
      <c r="V2" s="14"/>
      <c r="W2" s="14"/>
      <c r="X2" s="14"/>
      <c r="Y2" s="14"/>
      <c r="Z2" s="8" t="str">
        <f t="array" ref="Z2">LOOKUP(2,1/(A2:Y2&lt;&gt;""),A2:Y2)</f>
        <v>01/02/2026</v>
      </c>
      <c r="AA2" s="6" t="str">
        <f t="shared" ref="AA2:AA65" si="0">TEXT(Z2,"[$-he-IL]mmmm")</f>
        <v>פברואר</v>
      </c>
    </row>
    <row r="3" spans="1:27" s="1" customFormat="1" ht="25.1" customHeight="1">
      <c r="A3" s="6" t="s">
        <v>108</v>
      </c>
      <c r="B3" s="6" t="s">
        <v>41</v>
      </c>
      <c r="C3" s="11" t="s">
        <v>134</v>
      </c>
      <c r="D3" s="6" t="s">
        <v>42</v>
      </c>
      <c r="E3" s="6" t="s">
        <v>34</v>
      </c>
      <c r="F3" s="6" t="s">
        <v>109</v>
      </c>
      <c r="G3" s="6" t="s">
        <v>66</v>
      </c>
      <c r="H3" s="9">
        <v>0.35416666666666669</v>
      </c>
      <c r="I3" s="9">
        <v>0.41666666666666669</v>
      </c>
      <c r="J3" s="14" t="s">
        <v>164</v>
      </c>
      <c r="K3" s="14" t="s">
        <v>165</v>
      </c>
      <c r="L3" s="14" t="s">
        <v>166</v>
      </c>
      <c r="M3" s="14" t="s">
        <v>167</v>
      </c>
      <c r="N3" s="14" t="s">
        <v>168</v>
      </c>
      <c r="O3" s="14" t="s">
        <v>169</v>
      </c>
      <c r="P3" s="14" t="s">
        <v>170</v>
      </c>
      <c r="Q3" s="14" t="s">
        <v>171</v>
      </c>
      <c r="R3" s="14" t="s">
        <v>172</v>
      </c>
      <c r="S3" s="14" t="s">
        <v>173</v>
      </c>
      <c r="T3" s="14" t="s">
        <v>174</v>
      </c>
      <c r="U3" s="14" t="s">
        <v>175</v>
      </c>
      <c r="V3" s="14" t="s">
        <v>176</v>
      </c>
      <c r="W3" s="14"/>
      <c r="X3" s="14"/>
      <c r="Y3" s="14"/>
      <c r="Z3" s="8" t="str">
        <f t="array" ref="Z3">LOOKUP(2,1/(A3:Y3&lt;&gt;""),A3:Y3)</f>
        <v>01/03/2026</v>
      </c>
      <c r="AA3" s="6" t="str">
        <f t="shared" si="0"/>
        <v>מרץ</v>
      </c>
    </row>
    <row r="4" spans="1:27" s="1" customFormat="1" ht="25.1" customHeight="1">
      <c r="A4" s="6" t="s">
        <v>108</v>
      </c>
      <c r="B4" s="6" t="s">
        <v>41</v>
      </c>
      <c r="C4" s="11" t="s">
        <v>134</v>
      </c>
      <c r="D4" s="6" t="s">
        <v>42</v>
      </c>
      <c r="E4" s="6" t="s">
        <v>34</v>
      </c>
      <c r="F4" s="6" t="s">
        <v>144</v>
      </c>
      <c r="G4" s="6" t="s">
        <v>66</v>
      </c>
      <c r="H4" s="9">
        <v>0.4375</v>
      </c>
      <c r="I4" s="9">
        <v>0.5</v>
      </c>
      <c r="J4" s="14" t="s">
        <v>164</v>
      </c>
      <c r="K4" s="14" t="s">
        <v>165</v>
      </c>
      <c r="L4" s="14" t="s">
        <v>166</v>
      </c>
      <c r="M4" s="14" t="s">
        <v>167</v>
      </c>
      <c r="N4" s="14" t="s">
        <v>168</v>
      </c>
      <c r="O4" s="14" t="s">
        <v>169</v>
      </c>
      <c r="P4" s="14" t="s">
        <v>170</v>
      </c>
      <c r="Q4" s="14" t="s">
        <v>171</v>
      </c>
      <c r="R4" s="14" t="s">
        <v>172</v>
      </c>
      <c r="S4" s="14" t="s">
        <v>173</v>
      </c>
      <c r="T4" s="14" t="s">
        <v>174</v>
      </c>
      <c r="U4" s="14" t="s">
        <v>175</v>
      </c>
      <c r="V4" s="14" t="s">
        <v>176</v>
      </c>
      <c r="W4" s="14"/>
      <c r="X4" s="14"/>
      <c r="Y4" s="14"/>
      <c r="Z4" s="8" t="str">
        <f t="array" ref="Z4">LOOKUP(2,1/(A4:Y4&lt;&gt;""),A4:Y4)</f>
        <v>01/03/2026</v>
      </c>
      <c r="AA4" s="6" t="str">
        <f t="shared" si="0"/>
        <v>מרץ</v>
      </c>
    </row>
    <row r="5" spans="1:27" s="1" customFormat="1" ht="25.1" customHeight="1">
      <c r="A5" s="6"/>
      <c r="B5" s="6" t="s">
        <v>41</v>
      </c>
      <c r="C5" s="11" t="s">
        <v>134</v>
      </c>
      <c r="D5" s="6" t="s">
        <v>49</v>
      </c>
      <c r="E5" s="6" t="s">
        <v>34</v>
      </c>
      <c r="F5" s="6" t="s">
        <v>50</v>
      </c>
      <c r="G5" s="6" t="s">
        <v>48</v>
      </c>
      <c r="H5" s="9">
        <v>0.33333333333333331</v>
      </c>
      <c r="I5" s="9">
        <v>0.39583333333333331</v>
      </c>
      <c r="J5" s="14" t="s">
        <v>177</v>
      </c>
      <c r="K5" s="14" t="s">
        <v>178</v>
      </c>
      <c r="L5" s="14" t="s">
        <v>179</v>
      </c>
      <c r="M5" s="14" t="s">
        <v>180</v>
      </c>
      <c r="N5" s="14" t="s">
        <v>181</v>
      </c>
      <c r="O5" s="14" t="s">
        <v>182</v>
      </c>
      <c r="P5" s="14" t="s">
        <v>183</v>
      </c>
      <c r="Q5" s="14" t="s">
        <v>184</v>
      </c>
      <c r="R5" s="14" t="s">
        <v>185</v>
      </c>
      <c r="S5" s="14" t="s">
        <v>186</v>
      </c>
      <c r="T5" s="14"/>
      <c r="U5" s="14"/>
      <c r="V5" s="14"/>
      <c r="W5" s="14"/>
      <c r="X5" s="14"/>
      <c r="Y5" s="14"/>
      <c r="Z5" s="8" t="str">
        <f t="array" ref="Z5">LOOKUP(2,1/(A5:Y5&lt;&gt;""),A5:Y5)</f>
        <v>01/06/2026</v>
      </c>
      <c r="AA5" s="6" t="str">
        <f t="shared" si="0"/>
        <v>יוני</v>
      </c>
    </row>
    <row r="6" spans="1:27" s="1" customFormat="1" ht="25.1" customHeight="1">
      <c r="A6" s="6"/>
      <c r="B6" s="6" t="s">
        <v>41</v>
      </c>
      <c r="C6" s="11" t="s">
        <v>134</v>
      </c>
      <c r="D6" s="6" t="s">
        <v>49</v>
      </c>
      <c r="E6" s="6" t="s">
        <v>34</v>
      </c>
      <c r="F6" s="6" t="s">
        <v>50</v>
      </c>
      <c r="G6" s="6" t="s">
        <v>48</v>
      </c>
      <c r="H6" s="9">
        <v>0.40625</v>
      </c>
      <c r="I6" s="9">
        <v>0.46875</v>
      </c>
      <c r="J6" s="14" t="s">
        <v>177</v>
      </c>
      <c r="K6" s="14" t="s">
        <v>178</v>
      </c>
      <c r="L6" s="14" t="s">
        <v>179</v>
      </c>
      <c r="M6" s="14" t="s">
        <v>180</v>
      </c>
      <c r="N6" s="14" t="s">
        <v>181</v>
      </c>
      <c r="O6" s="14" t="s">
        <v>182</v>
      </c>
      <c r="P6" s="14" t="s">
        <v>183</v>
      </c>
      <c r="Q6" s="14" t="s">
        <v>184</v>
      </c>
      <c r="R6" s="14" t="s">
        <v>185</v>
      </c>
      <c r="S6" s="14" t="s">
        <v>186</v>
      </c>
      <c r="T6" s="14"/>
      <c r="U6" s="14"/>
      <c r="V6" s="14"/>
      <c r="W6" s="14"/>
      <c r="X6" s="14"/>
      <c r="Y6" s="14"/>
      <c r="Z6" s="8" t="str">
        <f t="array" ref="Z6">LOOKUP(2,1/(A6:Y6&lt;&gt;""),A6:Y6)</f>
        <v>01/06/2026</v>
      </c>
      <c r="AA6" s="6" t="str">
        <f t="shared" si="0"/>
        <v>יוני</v>
      </c>
    </row>
    <row r="7" spans="1:27" s="1" customFormat="1" ht="25.1" customHeight="1">
      <c r="A7" s="6"/>
      <c r="B7" s="6" t="s">
        <v>41</v>
      </c>
      <c r="C7" s="11" t="s">
        <v>134</v>
      </c>
      <c r="D7" s="6" t="s">
        <v>49</v>
      </c>
      <c r="E7" s="6" t="s">
        <v>34</v>
      </c>
      <c r="F7" s="6" t="s">
        <v>50</v>
      </c>
      <c r="G7" s="6" t="s">
        <v>48</v>
      </c>
      <c r="H7" s="9">
        <v>0.4826388888888889</v>
      </c>
      <c r="I7" s="9">
        <v>0.54513888888888884</v>
      </c>
      <c r="J7" s="14" t="s">
        <v>177</v>
      </c>
      <c r="K7" s="14" t="s">
        <v>178</v>
      </c>
      <c r="L7" s="14" t="s">
        <v>179</v>
      </c>
      <c r="M7" s="14" t="s">
        <v>180</v>
      </c>
      <c r="N7" s="14" t="s">
        <v>181</v>
      </c>
      <c r="O7" s="14" t="s">
        <v>182</v>
      </c>
      <c r="P7" s="14" t="s">
        <v>183</v>
      </c>
      <c r="Q7" s="14" t="s">
        <v>184</v>
      </c>
      <c r="R7" s="14" t="s">
        <v>185</v>
      </c>
      <c r="S7" s="14" t="s">
        <v>186</v>
      </c>
      <c r="T7" s="14"/>
      <c r="U7" s="14"/>
      <c r="V7" s="14"/>
      <c r="W7" s="14"/>
      <c r="X7" s="14"/>
      <c r="Y7" s="14"/>
      <c r="Z7" s="8" t="str">
        <f t="array" ref="Z7">LOOKUP(2,1/(A7:Y7&lt;&gt;""),A7:Y7)</f>
        <v>01/06/2026</v>
      </c>
      <c r="AA7" s="6" t="str">
        <f t="shared" si="0"/>
        <v>יוני</v>
      </c>
    </row>
    <row r="8" spans="1:27" s="1" customFormat="1" ht="25.1" customHeight="1">
      <c r="A8" s="6" t="s">
        <v>62</v>
      </c>
      <c r="B8" s="6" t="s">
        <v>68</v>
      </c>
      <c r="C8" s="11" t="s">
        <v>134</v>
      </c>
      <c r="D8" s="6" t="s">
        <v>90</v>
      </c>
      <c r="E8" s="6" t="s">
        <v>64</v>
      </c>
      <c r="F8" s="6" t="s">
        <v>91</v>
      </c>
      <c r="G8" s="6" t="s">
        <v>48</v>
      </c>
      <c r="H8" s="9">
        <v>0.34027777777777779</v>
      </c>
      <c r="I8" s="9">
        <v>0.40625</v>
      </c>
      <c r="J8" s="14" t="s">
        <v>187</v>
      </c>
      <c r="K8" s="14" t="s">
        <v>188</v>
      </c>
      <c r="L8" s="14" t="s">
        <v>189</v>
      </c>
      <c r="M8" s="14" t="s">
        <v>190</v>
      </c>
      <c r="N8" s="14" t="s">
        <v>191</v>
      </c>
      <c r="O8" s="14" t="s">
        <v>192</v>
      </c>
      <c r="P8" s="14" t="s">
        <v>193</v>
      </c>
      <c r="Q8" s="14" t="s">
        <v>194</v>
      </c>
      <c r="R8" s="14" t="s">
        <v>195</v>
      </c>
      <c r="S8" s="14" t="s">
        <v>196</v>
      </c>
      <c r="T8" s="14" t="s">
        <v>197</v>
      </c>
      <c r="U8" s="14" t="s">
        <v>198</v>
      </c>
      <c r="V8" s="14"/>
      <c r="W8" s="14"/>
      <c r="X8" s="14"/>
      <c r="Y8" s="14"/>
      <c r="Z8" s="8" t="str">
        <f t="array" ref="Z8">LOOKUP(2,1/(A8:Y8&lt;&gt;""),A8:Y8)</f>
        <v>02/02/2026</v>
      </c>
      <c r="AA8" s="6" t="str">
        <f t="shared" si="0"/>
        <v>פברואר</v>
      </c>
    </row>
    <row r="9" spans="1:27" s="1" customFormat="1" ht="25.1" customHeight="1">
      <c r="A9" s="6" t="s">
        <v>31</v>
      </c>
      <c r="B9" s="6" t="s">
        <v>45</v>
      </c>
      <c r="C9" s="11" t="s">
        <v>134</v>
      </c>
      <c r="D9" s="6" t="s">
        <v>46</v>
      </c>
      <c r="E9" s="6" t="s">
        <v>34</v>
      </c>
      <c r="F9" s="6" t="s">
        <v>47</v>
      </c>
      <c r="G9" s="6" t="s">
        <v>48</v>
      </c>
      <c r="H9" s="9">
        <v>0.34722222222222221</v>
      </c>
      <c r="I9" s="9">
        <v>0.40972222222222221</v>
      </c>
      <c r="J9" s="14" t="s">
        <v>194</v>
      </c>
      <c r="K9" s="14" t="s">
        <v>195</v>
      </c>
      <c r="L9" s="14" t="s">
        <v>196</v>
      </c>
      <c r="M9" s="14" t="s">
        <v>197</v>
      </c>
      <c r="N9" s="14" t="s">
        <v>198</v>
      </c>
      <c r="O9" s="14" t="s">
        <v>199</v>
      </c>
      <c r="P9" s="14" t="s">
        <v>200</v>
      </c>
      <c r="Q9" s="14" t="s">
        <v>201</v>
      </c>
      <c r="R9" s="14" t="s">
        <v>202</v>
      </c>
      <c r="S9" s="8"/>
      <c r="T9" s="8"/>
      <c r="U9" s="14"/>
      <c r="V9" s="14"/>
      <c r="W9" s="14"/>
      <c r="X9" s="14"/>
      <c r="Y9" s="14"/>
      <c r="Z9" s="8" t="str">
        <f t="array" ref="Z9">LOOKUP(2,1/(A9:Y9&lt;&gt;""),A9:Y9)</f>
        <v>02/03/2026</v>
      </c>
      <c r="AA9" s="6" t="str">
        <f t="shared" si="0"/>
        <v>מרץ</v>
      </c>
    </row>
    <row r="10" spans="1:27" s="1" customFormat="1" ht="25.1" customHeight="1">
      <c r="A10" s="6" t="s">
        <v>62</v>
      </c>
      <c r="B10" s="6" t="s">
        <v>106</v>
      </c>
      <c r="C10" s="11" t="s">
        <v>134</v>
      </c>
      <c r="D10" s="6" t="s">
        <v>90</v>
      </c>
      <c r="E10" s="6" t="s">
        <v>64</v>
      </c>
      <c r="F10" s="6" t="s">
        <v>107</v>
      </c>
      <c r="G10" s="6" t="s">
        <v>43</v>
      </c>
      <c r="H10" s="9">
        <v>0.42708333333333331</v>
      </c>
      <c r="I10" s="9">
        <v>0.48958333333333331</v>
      </c>
      <c r="J10" s="14" t="s">
        <v>203</v>
      </c>
      <c r="K10" s="14" t="s">
        <v>204</v>
      </c>
      <c r="L10" s="14" t="s">
        <v>205</v>
      </c>
      <c r="M10" s="14" t="s">
        <v>206</v>
      </c>
      <c r="N10" s="14" t="s">
        <v>207</v>
      </c>
      <c r="O10" s="14" t="s">
        <v>208</v>
      </c>
      <c r="P10" s="14" t="s">
        <v>209</v>
      </c>
      <c r="Q10" s="14" t="s">
        <v>210</v>
      </c>
      <c r="R10" s="14" t="s">
        <v>211</v>
      </c>
      <c r="S10" s="14" t="s">
        <v>212</v>
      </c>
      <c r="T10" s="8"/>
      <c r="U10" s="14"/>
      <c r="V10" s="14"/>
      <c r="W10" s="14"/>
      <c r="X10" s="14"/>
      <c r="Y10" s="14"/>
      <c r="Z10" s="8" t="str">
        <f t="array" ref="Z10">LOOKUP(2,1/(A10:Y10&lt;&gt;""),A10:Y10)</f>
        <v>03/02/2026</v>
      </c>
      <c r="AA10" s="6" t="str">
        <f t="shared" si="0"/>
        <v>פברואר</v>
      </c>
    </row>
    <row r="11" spans="1:27" s="1" customFormat="1" ht="25.1" customHeight="1">
      <c r="A11" s="6" t="s">
        <v>124</v>
      </c>
      <c r="B11" s="6" t="s">
        <v>51</v>
      </c>
      <c r="C11" s="11" t="s">
        <v>134</v>
      </c>
      <c r="D11" s="6" t="s">
        <v>112</v>
      </c>
      <c r="E11" s="6" t="s">
        <v>34</v>
      </c>
      <c r="F11" s="6" t="s">
        <v>154</v>
      </c>
      <c r="G11" s="6" t="s">
        <v>43</v>
      </c>
      <c r="H11" s="9">
        <v>0.34375</v>
      </c>
      <c r="I11" s="9">
        <v>0.41319444444444442</v>
      </c>
      <c r="J11" s="14" t="s">
        <v>213</v>
      </c>
      <c r="K11" s="14" t="s">
        <v>214</v>
      </c>
      <c r="L11" s="14" t="s">
        <v>215</v>
      </c>
      <c r="M11" s="14" t="s">
        <v>216</v>
      </c>
      <c r="N11" s="14" t="s">
        <v>203</v>
      </c>
      <c r="O11" s="14" t="s">
        <v>204</v>
      </c>
      <c r="P11" s="14" t="s">
        <v>205</v>
      </c>
      <c r="Q11" s="14" t="s">
        <v>206</v>
      </c>
      <c r="R11" s="14" t="s">
        <v>207</v>
      </c>
      <c r="S11" s="14" t="s">
        <v>209</v>
      </c>
      <c r="T11" s="14" t="s">
        <v>210</v>
      </c>
      <c r="U11" s="14" t="s">
        <v>211</v>
      </c>
      <c r="V11" s="14" t="s">
        <v>212</v>
      </c>
      <c r="W11" s="14"/>
      <c r="X11" s="14"/>
      <c r="Y11" s="14"/>
      <c r="Z11" s="8" t="str">
        <f t="array" ref="Z11">LOOKUP(2,1/(A11:Y11&lt;&gt;""),A11:Y11)</f>
        <v>03/02/2026</v>
      </c>
      <c r="AA11" s="6" t="str">
        <f t="shared" si="0"/>
        <v>פברואר</v>
      </c>
    </row>
    <row r="12" spans="1:27" s="1" customFormat="1" ht="25.1" customHeight="1">
      <c r="A12" s="6" t="s">
        <v>108</v>
      </c>
      <c r="B12" s="6" t="s">
        <v>45</v>
      </c>
      <c r="C12" s="11" t="s">
        <v>134</v>
      </c>
      <c r="D12" s="6" t="s">
        <v>69</v>
      </c>
      <c r="E12" s="6" t="s">
        <v>64</v>
      </c>
      <c r="F12" s="6" t="s">
        <v>69</v>
      </c>
      <c r="G12" s="6" t="s">
        <v>40</v>
      </c>
      <c r="H12" s="9">
        <v>0.5</v>
      </c>
      <c r="I12" s="9">
        <v>0.5625</v>
      </c>
      <c r="J12" s="14" t="s">
        <v>217</v>
      </c>
      <c r="K12" s="14" t="s">
        <v>218</v>
      </c>
      <c r="L12" s="14" t="s">
        <v>219</v>
      </c>
      <c r="M12" s="14" t="s">
        <v>220</v>
      </c>
      <c r="N12" s="14" t="s">
        <v>221</v>
      </c>
      <c r="O12" s="14" t="s">
        <v>222</v>
      </c>
      <c r="P12" s="14" t="s">
        <v>223</v>
      </c>
      <c r="Q12" s="14" t="s">
        <v>224</v>
      </c>
      <c r="R12" s="14" t="s">
        <v>225</v>
      </c>
      <c r="S12" s="14" t="s">
        <v>226</v>
      </c>
      <c r="T12" s="14" t="s">
        <v>227</v>
      </c>
      <c r="U12" s="14"/>
      <c r="V12" s="14"/>
      <c r="W12" s="14"/>
      <c r="X12" s="14"/>
      <c r="Y12" s="14"/>
      <c r="Z12" s="8" t="str">
        <f t="array" ref="Z12">LOOKUP(2,1/(A12:Y12&lt;&gt;""),A12:Y12)</f>
        <v>04/02/2026</v>
      </c>
      <c r="AA12" s="6" t="str">
        <f t="shared" si="0"/>
        <v>פברואר</v>
      </c>
    </row>
    <row r="13" spans="1:27" s="1" customFormat="1" ht="25.1" customHeight="1">
      <c r="A13" s="6" t="s">
        <v>143</v>
      </c>
      <c r="B13" s="6" t="s">
        <v>41</v>
      </c>
      <c r="C13" s="11" t="s">
        <v>134</v>
      </c>
      <c r="D13" s="6" t="s">
        <v>42</v>
      </c>
      <c r="E13" s="6" t="s">
        <v>34</v>
      </c>
      <c r="F13" s="6" t="s">
        <v>142</v>
      </c>
      <c r="G13" s="6" t="s">
        <v>43</v>
      </c>
      <c r="H13" s="9">
        <v>0.4548611111111111</v>
      </c>
      <c r="I13" s="9">
        <v>0.55902777777777779</v>
      </c>
      <c r="J13" s="14" t="s">
        <v>210</v>
      </c>
      <c r="K13" s="14" t="s">
        <v>211</v>
      </c>
      <c r="L13" s="14" t="s">
        <v>212</v>
      </c>
      <c r="M13" s="14" t="s">
        <v>228</v>
      </c>
      <c r="N13" s="14" t="s">
        <v>229</v>
      </c>
      <c r="O13" s="14" t="s">
        <v>230</v>
      </c>
      <c r="P13" s="14" t="s">
        <v>231</v>
      </c>
      <c r="Q13" s="14" t="s">
        <v>232</v>
      </c>
      <c r="R13" s="14" t="s">
        <v>233</v>
      </c>
      <c r="S13" s="14" t="s">
        <v>234</v>
      </c>
      <c r="T13" s="14" t="s">
        <v>235</v>
      </c>
      <c r="U13" s="14"/>
      <c r="V13" s="14"/>
      <c r="W13" s="14"/>
      <c r="X13" s="14"/>
      <c r="Y13" s="14"/>
      <c r="Z13" s="8" t="str">
        <f t="array" ref="Z13">LOOKUP(2,1/(A13:Y13&lt;&gt;""),A13:Y13)</f>
        <v>05/05/2026</v>
      </c>
      <c r="AA13" s="6" t="str">
        <f t="shared" si="0"/>
        <v>מאי</v>
      </c>
    </row>
    <row r="14" spans="1:27" s="1" customFormat="1" ht="25.1" customHeight="1">
      <c r="A14" s="6" t="s">
        <v>79</v>
      </c>
      <c r="B14" s="6" t="s">
        <v>45</v>
      </c>
      <c r="C14" s="11" t="s">
        <v>134</v>
      </c>
      <c r="D14" s="6" t="s">
        <v>80</v>
      </c>
      <c r="E14" s="6" t="s">
        <v>64</v>
      </c>
      <c r="F14" s="6" t="s">
        <v>82</v>
      </c>
      <c r="G14" s="6" t="s">
        <v>43</v>
      </c>
      <c r="H14" s="9">
        <v>0.4375</v>
      </c>
      <c r="I14" s="9">
        <v>0.5</v>
      </c>
      <c r="J14" s="14" t="s">
        <v>228</v>
      </c>
      <c r="K14" s="14" t="s">
        <v>229</v>
      </c>
      <c r="L14" s="14" t="s">
        <v>230</v>
      </c>
      <c r="M14" s="14" t="s">
        <v>231</v>
      </c>
      <c r="N14" s="14" t="s">
        <v>232</v>
      </c>
      <c r="O14" s="14" t="s">
        <v>233</v>
      </c>
      <c r="P14" s="14" t="s">
        <v>234</v>
      </c>
      <c r="Q14" s="14" t="s">
        <v>235</v>
      </c>
      <c r="R14" s="8"/>
      <c r="S14" s="8"/>
      <c r="T14" s="8"/>
      <c r="U14" s="14"/>
      <c r="V14" s="14"/>
      <c r="W14" s="14"/>
      <c r="X14" s="14"/>
      <c r="Y14" s="14"/>
      <c r="Z14" s="8" t="str">
        <f t="array" ref="Z14">LOOKUP(2,1/(A14:Y14&lt;&gt;""),A14:Y14)</f>
        <v>05/05/2026</v>
      </c>
      <c r="AA14" s="6" t="str">
        <f t="shared" si="0"/>
        <v>מאי</v>
      </c>
    </row>
    <row r="15" spans="1:27" s="1" customFormat="1" ht="25.1" customHeight="1">
      <c r="A15" s="6" t="s">
        <v>37</v>
      </c>
      <c r="B15" s="6" t="s">
        <v>32</v>
      </c>
      <c r="C15" s="11" t="s">
        <v>134</v>
      </c>
      <c r="D15" s="6" t="s">
        <v>38</v>
      </c>
      <c r="E15" s="6" t="s">
        <v>34</v>
      </c>
      <c r="F15" s="6" t="s">
        <v>39</v>
      </c>
      <c r="G15" s="6" t="s">
        <v>40</v>
      </c>
      <c r="H15" s="9">
        <v>0.57291666666666663</v>
      </c>
      <c r="I15" s="9">
        <v>0.60416666666666663</v>
      </c>
      <c r="J15" s="14" t="s">
        <v>226</v>
      </c>
      <c r="K15" s="14" t="s">
        <v>227</v>
      </c>
      <c r="L15" s="14" t="s">
        <v>236</v>
      </c>
      <c r="M15" s="14" t="s">
        <v>237</v>
      </c>
      <c r="N15" s="14" t="s">
        <v>238</v>
      </c>
      <c r="O15" s="14" t="s">
        <v>239</v>
      </c>
      <c r="P15" s="14" t="s">
        <v>240</v>
      </c>
      <c r="Q15" s="14" t="s">
        <v>241</v>
      </c>
      <c r="R15" s="14" t="s">
        <v>242</v>
      </c>
      <c r="S15" s="14" t="s">
        <v>243</v>
      </c>
      <c r="T15" s="8"/>
      <c r="U15" s="14"/>
      <c r="V15" s="14"/>
      <c r="W15" s="14"/>
      <c r="X15" s="14"/>
      <c r="Y15" s="14"/>
      <c r="Z15" s="8" t="str">
        <f t="array" ref="Z15">LOOKUP(2,1/(A15:Y15&lt;&gt;""),A15:Y15)</f>
        <v>06/05/2026</v>
      </c>
      <c r="AA15" s="6" t="str">
        <f t="shared" si="0"/>
        <v>מאי</v>
      </c>
    </row>
    <row r="16" spans="1:27" s="1" customFormat="1" ht="25.1" customHeight="1">
      <c r="A16" s="6" t="s">
        <v>126</v>
      </c>
      <c r="B16" s="6" t="s">
        <v>127</v>
      </c>
      <c r="C16" s="11" t="s">
        <v>134</v>
      </c>
      <c r="D16" s="6" t="s">
        <v>128</v>
      </c>
      <c r="E16" s="6" t="s">
        <v>34</v>
      </c>
      <c r="F16" s="6" t="s">
        <v>129</v>
      </c>
      <c r="G16" s="6" t="s">
        <v>36</v>
      </c>
      <c r="H16" s="9">
        <v>0.63541666666666663</v>
      </c>
      <c r="I16" s="9">
        <v>0.67708333333333337</v>
      </c>
      <c r="J16" s="14" t="s">
        <v>244</v>
      </c>
      <c r="K16" s="14" t="s">
        <v>245</v>
      </c>
      <c r="L16" s="14" t="s">
        <v>246</v>
      </c>
      <c r="M16" s="14" t="s">
        <v>247</v>
      </c>
      <c r="N16" s="14" t="s">
        <v>248</v>
      </c>
      <c r="O16" s="14" t="s">
        <v>249</v>
      </c>
      <c r="P16" s="14" t="s">
        <v>250</v>
      </c>
      <c r="Q16" s="14" t="s">
        <v>251</v>
      </c>
      <c r="R16" s="14" t="s">
        <v>252</v>
      </c>
      <c r="S16" s="14" t="s">
        <v>253</v>
      </c>
      <c r="T16" s="14" t="s">
        <v>254</v>
      </c>
      <c r="U16" s="14" t="s">
        <v>255</v>
      </c>
      <c r="V16" s="14" t="s">
        <v>256</v>
      </c>
      <c r="W16" s="14" t="s">
        <v>257</v>
      </c>
      <c r="X16" s="14" t="s">
        <v>258</v>
      </c>
      <c r="Y16" s="14" t="s">
        <v>259</v>
      </c>
      <c r="Z16" s="8" t="str">
        <f t="array" ref="Z16">LOOKUP(2,1/(A16:Y16&lt;&gt;""),A16:Y16)</f>
        <v>08/01/2026</v>
      </c>
      <c r="AA16" s="6" t="str">
        <f t="shared" si="0"/>
        <v>ינואר</v>
      </c>
    </row>
    <row r="17" spans="1:27" s="1" customFormat="1" ht="25.1" customHeight="1">
      <c r="A17" s="6" t="s">
        <v>126</v>
      </c>
      <c r="B17" s="6" t="s">
        <v>127</v>
      </c>
      <c r="C17" s="11" t="s">
        <v>134</v>
      </c>
      <c r="D17" s="6" t="s">
        <v>128</v>
      </c>
      <c r="E17" s="6" t="s">
        <v>34</v>
      </c>
      <c r="F17" s="6" t="s">
        <v>129</v>
      </c>
      <c r="G17" s="6" t="s">
        <v>36</v>
      </c>
      <c r="H17" s="9">
        <v>0.58333333333333337</v>
      </c>
      <c r="I17" s="9">
        <v>0.625</v>
      </c>
      <c r="J17" s="14" t="s">
        <v>244</v>
      </c>
      <c r="K17" s="14" t="s">
        <v>245</v>
      </c>
      <c r="L17" s="14" t="s">
        <v>246</v>
      </c>
      <c r="M17" s="14" t="s">
        <v>247</v>
      </c>
      <c r="N17" s="14" t="s">
        <v>248</v>
      </c>
      <c r="O17" s="14" t="s">
        <v>249</v>
      </c>
      <c r="P17" s="14" t="s">
        <v>250</v>
      </c>
      <c r="Q17" s="14" t="s">
        <v>251</v>
      </c>
      <c r="R17" s="14" t="s">
        <v>252</v>
      </c>
      <c r="S17" s="14" t="s">
        <v>253</v>
      </c>
      <c r="T17" s="14" t="s">
        <v>254</v>
      </c>
      <c r="U17" s="14" t="s">
        <v>255</v>
      </c>
      <c r="V17" s="14" t="s">
        <v>256</v>
      </c>
      <c r="W17" s="14" t="s">
        <v>257</v>
      </c>
      <c r="X17" s="14" t="s">
        <v>258</v>
      </c>
      <c r="Y17" s="14" t="s">
        <v>259</v>
      </c>
      <c r="Z17" s="8" t="str">
        <f t="array" ref="Z17">LOOKUP(2,1/(A17:Y17&lt;&gt;""),A17:Y17)</f>
        <v>08/01/2026</v>
      </c>
      <c r="AA17" s="6" t="str">
        <f t="shared" si="0"/>
        <v>ינואר</v>
      </c>
    </row>
    <row r="18" spans="1:27" s="1" customFormat="1" ht="25.1" customHeight="1">
      <c r="A18" s="6" t="s">
        <v>153</v>
      </c>
      <c r="B18" s="6" t="s">
        <v>32</v>
      </c>
      <c r="C18" s="11" t="s">
        <v>134</v>
      </c>
      <c r="D18" s="6" t="s">
        <v>151</v>
      </c>
      <c r="E18" s="6" t="s">
        <v>34</v>
      </c>
      <c r="F18" s="6" t="s">
        <v>152</v>
      </c>
      <c r="G18" s="6" t="s">
        <v>66</v>
      </c>
      <c r="H18" s="9">
        <v>0.58333333333333337</v>
      </c>
      <c r="I18" s="9">
        <v>0.61458333333333337</v>
      </c>
      <c r="J18" s="14" t="s">
        <v>260</v>
      </c>
      <c r="K18" s="14" t="s">
        <v>261</v>
      </c>
      <c r="L18" s="14" t="s">
        <v>262</v>
      </c>
      <c r="M18" s="14" t="s">
        <v>263</v>
      </c>
      <c r="N18" s="14" t="s">
        <v>164</v>
      </c>
      <c r="O18" s="14" t="s">
        <v>165</v>
      </c>
      <c r="P18" s="14" t="s">
        <v>166</v>
      </c>
      <c r="Q18" s="14" t="s">
        <v>167</v>
      </c>
      <c r="R18" s="14" t="s">
        <v>168</v>
      </c>
      <c r="S18" s="14" t="s">
        <v>169</v>
      </c>
      <c r="T18" s="14" t="s">
        <v>170</v>
      </c>
      <c r="U18" s="14" t="s">
        <v>171</v>
      </c>
      <c r="V18" s="14" t="s">
        <v>172</v>
      </c>
      <c r="W18" s="14" t="s">
        <v>173</v>
      </c>
      <c r="X18" s="14"/>
      <c r="Y18" s="14"/>
      <c r="Z18" s="8" t="str">
        <f t="array" ref="Z18">LOOKUP(2,1/(A18:Y18&lt;&gt;""),A18:Y18)</f>
        <v>08/02/2026</v>
      </c>
      <c r="AA18" s="6" t="str">
        <f t="shared" si="0"/>
        <v>פברואר</v>
      </c>
    </row>
    <row r="19" spans="1:27" s="1" customFormat="1" ht="25.1" customHeight="1">
      <c r="A19" s="6" t="s">
        <v>31</v>
      </c>
      <c r="B19" s="6" t="s">
        <v>32</v>
      </c>
      <c r="C19" s="11" t="s">
        <v>134</v>
      </c>
      <c r="D19" s="6" t="s">
        <v>33</v>
      </c>
      <c r="E19" s="6" t="s">
        <v>34</v>
      </c>
      <c r="F19" s="6" t="s">
        <v>35</v>
      </c>
      <c r="G19" s="6" t="s">
        <v>36</v>
      </c>
      <c r="H19" s="9">
        <v>0.36458333333333331</v>
      </c>
      <c r="I19" s="9">
        <v>0.59375</v>
      </c>
      <c r="J19" s="14" t="s">
        <v>264</v>
      </c>
      <c r="K19" s="14" t="s">
        <v>265</v>
      </c>
      <c r="L19" s="14" t="s">
        <v>266</v>
      </c>
      <c r="M19" s="14" t="s">
        <v>267</v>
      </c>
      <c r="N19" s="14" t="s">
        <v>268</v>
      </c>
      <c r="O19" s="14" t="s">
        <v>269</v>
      </c>
      <c r="P19" s="14" t="s">
        <v>270</v>
      </c>
      <c r="Q19" s="14" t="s">
        <v>271</v>
      </c>
      <c r="R19" s="14" t="s">
        <v>272</v>
      </c>
      <c r="S19" s="14" t="s">
        <v>273</v>
      </c>
      <c r="T19" s="8"/>
      <c r="U19" s="14"/>
      <c r="V19" s="14"/>
      <c r="W19" s="14"/>
      <c r="X19" s="14"/>
      <c r="Y19" s="14"/>
      <c r="Z19" s="8" t="str">
        <f t="array" ref="Z19">LOOKUP(2,1/(A19:Y19&lt;&gt;""),A19:Y19)</f>
        <v>09/04/2026</v>
      </c>
      <c r="AA19" s="6" t="str">
        <f t="shared" si="0"/>
        <v>אפריל</v>
      </c>
    </row>
    <row r="20" spans="1:27" s="1" customFormat="1" ht="25.1" customHeight="1">
      <c r="A20" s="6" t="s">
        <v>31</v>
      </c>
      <c r="B20" s="6" t="s">
        <v>32</v>
      </c>
      <c r="C20" s="11" t="s">
        <v>134</v>
      </c>
      <c r="D20" s="6" t="s">
        <v>33</v>
      </c>
      <c r="E20" s="6" t="s">
        <v>34</v>
      </c>
      <c r="F20" s="6" t="s">
        <v>35</v>
      </c>
      <c r="G20" s="6" t="s">
        <v>36</v>
      </c>
      <c r="H20" s="9">
        <v>0.36458333333333331</v>
      </c>
      <c r="I20" s="9">
        <v>0.59375</v>
      </c>
      <c r="J20" s="14" t="s">
        <v>264</v>
      </c>
      <c r="K20" s="14" t="s">
        <v>265</v>
      </c>
      <c r="L20" s="14" t="s">
        <v>266</v>
      </c>
      <c r="M20" s="14" t="s">
        <v>267</v>
      </c>
      <c r="N20" s="14" t="s">
        <v>268</v>
      </c>
      <c r="O20" s="14" t="s">
        <v>269</v>
      </c>
      <c r="P20" s="14" t="s">
        <v>270</v>
      </c>
      <c r="Q20" s="14" t="s">
        <v>271</v>
      </c>
      <c r="R20" s="14" t="s">
        <v>272</v>
      </c>
      <c r="S20" s="14" t="s">
        <v>273</v>
      </c>
      <c r="T20" s="8"/>
      <c r="U20" s="14"/>
      <c r="V20" s="14"/>
      <c r="W20" s="14"/>
      <c r="X20" s="14"/>
      <c r="Y20" s="14"/>
      <c r="Z20" s="8" t="str">
        <f t="array" ref="Z20">LOOKUP(2,1/(A20:Y20&lt;&gt;""),A20:Y20)</f>
        <v>09/04/2026</v>
      </c>
      <c r="AA20" s="6" t="str">
        <f t="shared" si="0"/>
        <v>אפריל</v>
      </c>
    </row>
    <row r="21" spans="1:27" s="1" customFormat="1" ht="25.1" customHeight="1">
      <c r="A21" s="6" t="s">
        <v>31</v>
      </c>
      <c r="B21" s="6" t="s">
        <v>32</v>
      </c>
      <c r="C21" s="11" t="s">
        <v>134</v>
      </c>
      <c r="D21" s="6" t="s">
        <v>33</v>
      </c>
      <c r="E21" s="6" t="s">
        <v>34</v>
      </c>
      <c r="F21" s="6" t="s">
        <v>35</v>
      </c>
      <c r="G21" s="6" t="s">
        <v>36</v>
      </c>
      <c r="H21" s="9">
        <v>0.36458333333333331</v>
      </c>
      <c r="I21" s="9">
        <v>0.59375</v>
      </c>
      <c r="J21" s="14" t="s">
        <v>264</v>
      </c>
      <c r="K21" s="14" t="s">
        <v>265</v>
      </c>
      <c r="L21" s="14" t="s">
        <v>266</v>
      </c>
      <c r="M21" s="14" t="s">
        <v>267</v>
      </c>
      <c r="N21" s="14" t="s">
        <v>268</v>
      </c>
      <c r="O21" s="14" t="s">
        <v>269</v>
      </c>
      <c r="P21" s="14" t="s">
        <v>270</v>
      </c>
      <c r="Q21" s="14" t="s">
        <v>271</v>
      </c>
      <c r="R21" s="14" t="s">
        <v>272</v>
      </c>
      <c r="S21" s="14" t="s">
        <v>273</v>
      </c>
      <c r="T21" s="8"/>
      <c r="U21" s="14"/>
      <c r="V21" s="14"/>
      <c r="W21" s="14"/>
      <c r="X21" s="14"/>
      <c r="Y21" s="14"/>
      <c r="Z21" s="8" t="str">
        <f t="array" ref="Z21">LOOKUP(2,1/(A21:Y21&lt;&gt;""),A21:Y21)</f>
        <v>09/04/2026</v>
      </c>
      <c r="AA21" s="6" t="str">
        <f t="shared" si="0"/>
        <v>אפריל</v>
      </c>
    </row>
    <row r="22" spans="1:27" s="1" customFormat="1" ht="25.1" customHeight="1">
      <c r="A22" s="6" t="s">
        <v>62</v>
      </c>
      <c r="B22" s="6" t="s">
        <v>68</v>
      </c>
      <c r="C22" s="11" t="s">
        <v>134</v>
      </c>
      <c r="D22" s="6" t="s">
        <v>63</v>
      </c>
      <c r="E22" s="6" t="s">
        <v>64</v>
      </c>
      <c r="F22" s="6" t="s">
        <v>92</v>
      </c>
      <c r="G22" s="6" t="s">
        <v>43</v>
      </c>
      <c r="H22" s="9">
        <v>0.51041666666666663</v>
      </c>
      <c r="I22" s="9">
        <v>0.56597222222222221</v>
      </c>
      <c r="J22" s="14" t="s">
        <v>215</v>
      </c>
      <c r="K22" s="14" t="s">
        <v>216</v>
      </c>
      <c r="L22" s="14" t="s">
        <v>203</v>
      </c>
      <c r="M22" s="14" t="s">
        <v>204</v>
      </c>
      <c r="N22" s="14" t="s">
        <v>205</v>
      </c>
      <c r="O22" s="14" t="s">
        <v>206</v>
      </c>
      <c r="P22" s="14" t="s">
        <v>207</v>
      </c>
      <c r="Q22" s="14" t="s">
        <v>208</v>
      </c>
      <c r="R22" s="14" t="s">
        <v>209</v>
      </c>
      <c r="S22" s="14" t="s">
        <v>210</v>
      </c>
      <c r="T22" s="14" t="s">
        <v>211</v>
      </c>
      <c r="U22" s="14" t="s">
        <v>212</v>
      </c>
      <c r="V22" s="14" t="s">
        <v>228</v>
      </c>
      <c r="W22" s="14" t="s">
        <v>229</v>
      </c>
      <c r="X22" s="14" t="s">
        <v>230</v>
      </c>
      <c r="Y22" s="14" t="s">
        <v>231</v>
      </c>
      <c r="Z22" s="8" t="str">
        <f t="array" ref="Z22">LOOKUP(2,1/(A22:Y22&lt;&gt;""),A22:Y22)</f>
        <v>10/03/2026</v>
      </c>
      <c r="AA22" s="6" t="str">
        <f t="shared" si="0"/>
        <v>מרץ</v>
      </c>
    </row>
    <row r="23" spans="1:27" s="1" customFormat="1" ht="25.1" customHeight="1">
      <c r="A23" s="6" t="s">
        <v>31</v>
      </c>
      <c r="B23" s="6" t="s">
        <v>45</v>
      </c>
      <c r="C23" s="11" t="s">
        <v>134</v>
      </c>
      <c r="D23" s="6" t="s">
        <v>57</v>
      </c>
      <c r="E23" s="6" t="s">
        <v>34</v>
      </c>
      <c r="F23" s="6" t="s">
        <v>58</v>
      </c>
      <c r="G23" s="6" t="s">
        <v>43</v>
      </c>
      <c r="H23" s="9">
        <v>0.33333333333333331</v>
      </c>
      <c r="I23" s="9">
        <v>0.40277777777777779</v>
      </c>
      <c r="J23" s="14" t="s">
        <v>209</v>
      </c>
      <c r="K23" s="14" t="s">
        <v>210</v>
      </c>
      <c r="L23" s="14" t="s">
        <v>211</v>
      </c>
      <c r="M23" s="14" t="s">
        <v>212</v>
      </c>
      <c r="N23" s="14" t="s">
        <v>228</v>
      </c>
      <c r="O23" s="14" t="s">
        <v>229</v>
      </c>
      <c r="P23" s="14" t="s">
        <v>230</v>
      </c>
      <c r="Q23" s="14" t="s">
        <v>231</v>
      </c>
      <c r="R23" s="8"/>
      <c r="S23" s="8"/>
      <c r="T23" s="8"/>
      <c r="U23" s="14"/>
      <c r="V23" s="14"/>
      <c r="W23" s="14"/>
      <c r="X23" s="14"/>
      <c r="Y23" s="14"/>
      <c r="Z23" s="8" t="str">
        <f t="array" ref="Z23">LOOKUP(2,1/(A23:Y23&lt;&gt;""),A23:Y23)</f>
        <v>10/03/2026</v>
      </c>
      <c r="AA23" s="6" t="str">
        <f t="shared" si="0"/>
        <v>מרץ</v>
      </c>
    </row>
    <row r="24" spans="1:27" s="1" customFormat="1" ht="25.1" customHeight="1">
      <c r="A24" s="6" t="s">
        <v>103</v>
      </c>
      <c r="B24" s="6" t="s">
        <v>68</v>
      </c>
      <c r="C24" s="11" t="s">
        <v>134</v>
      </c>
      <c r="D24" s="6" t="s">
        <v>104</v>
      </c>
      <c r="E24" s="6" t="s">
        <v>34</v>
      </c>
      <c r="F24" s="6" t="s">
        <v>105</v>
      </c>
      <c r="G24" s="6" t="s">
        <v>43</v>
      </c>
      <c r="H24" s="9">
        <v>0.34375</v>
      </c>
      <c r="I24" s="9">
        <v>0.40625</v>
      </c>
      <c r="J24" s="14" t="s">
        <v>203</v>
      </c>
      <c r="K24" s="14" t="s">
        <v>204</v>
      </c>
      <c r="L24" s="14" t="s">
        <v>205</v>
      </c>
      <c r="M24" s="14" t="s">
        <v>206</v>
      </c>
      <c r="N24" s="14" t="s">
        <v>207</v>
      </c>
      <c r="O24" s="14" t="s">
        <v>208</v>
      </c>
      <c r="P24" s="14" t="s">
        <v>209</v>
      </c>
      <c r="Q24" s="14" t="s">
        <v>210</v>
      </c>
      <c r="R24" s="14" t="s">
        <v>211</v>
      </c>
      <c r="S24" s="14" t="s">
        <v>212</v>
      </c>
      <c r="T24" s="14" t="s">
        <v>228</v>
      </c>
      <c r="U24" s="14" t="s">
        <v>229</v>
      </c>
      <c r="V24" s="14" t="s">
        <v>230</v>
      </c>
      <c r="W24" s="14" t="s">
        <v>231</v>
      </c>
      <c r="X24" s="14"/>
      <c r="Y24" s="14"/>
      <c r="Z24" s="8" t="str">
        <f t="array" ref="Z24">LOOKUP(2,1/(A24:Y24&lt;&gt;""),A24:Y24)</f>
        <v>10/03/2026</v>
      </c>
      <c r="AA24" s="6" t="str">
        <f t="shared" si="0"/>
        <v>מרץ</v>
      </c>
    </row>
    <row r="25" spans="1:27" s="1" customFormat="1" ht="25.1" customHeight="1">
      <c r="A25" s="6" t="s">
        <v>79</v>
      </c>
      <c r="B25" s="6" t="s">
        <v>32</v>
      </c>
      <c r="C25" s="11" t="s">
        <v>134</v>
      </c>
      <c r="D25" s="6" t="s">
        <v>86</v>
      </c>
      <c r="E25" s="6" t="s">
        <v>64</v>
      </c>
      <c r="F25" s="6" t="s">
        <v>149</v>
      </c>
      <c r="G25" s="6" t="s">
        <v>40</v>
      </c>
      <c r="H25" s="9">
        <v>0.45833333333333331</v>
      </c>
      <c r="I25" s="9">
        <v>0.53472222222222221</v>
      </c>
      <c r="J25" s="14" t="s">
        <v>260</v>
      </c>
      <c r="K25" s="14" t="s">
        <v>261</v>
      </c>
      <c r="L25" s="14" t="s">
        <v>262</v>
      </c>
      <c r="M25" s="14" t="s">
        <v>263</v>
      </c>
      <c r="N25" s="14" t="s">
        <v>164</v>
      </c>
      <c r="O25" s="14" t="s">
        <v>165</v>
      </c>
      <c r="P25" s="14" t="s">
        <v>166</v>
      </c>
      <c r="Q25" s="14" t="s">
        <v>167</v>
      </c>
      <c r="R25" s="14" t="s">
        <v>168</v>
      </c>
      <c r="S25" s="14" t="s">
        <v>169</v>
      </c>
      <c r="T25" s="14" t="s">
        <v>274</v>
      </c>
      <c r="U25" s="14" t="s">
        <v>274</v>
      </c>
      <c r="V25" s="14" t="s">
        <v>225</v>
      </c>
      <c r="W25" s="14" t="s">
        <v>226</v>
      </c>
      <c r="X25" s="14" t="s">
        <v>227</v>
      </c>
      <c r="Y25" s="14" t="s">
        <v>236</v>
      </c>
      <c r="Z25" s="8" t="str">
        <f t="array" ref="Z25">LOOKUP(2,1/(A25:Y25&lt;&gt;""),A25:Y25)</f>
        <v>11/02/2026</v>
      </c>
      <c r="AA25" s="6" t="str">
        <f t="shared" si="0"/>
        <v>פברואר</v>
      </c>
    </row>
    <row r="26" spans="1:27" s="4" customFormat="1" ht="25.1" customHeight="1">
      <c r="A26" s="6" t="s">
        <v>67</v>
      </c>
      <c r="B26" s="6" t="s">
        <v>45</v>
      </c>
      <c r="C26" s="11" t="s">
        <v>134</v>
      </c>
      <c r="D26" s="6" t="s">
        <v>99</v>
      </c>
      <c r="E26" s="6" t="s">
        <v>64</v>
      </c>
      <c r="F26" s="6" t="s">
        <v>100</v>
      </c>
      <c r="G26" s="6" t="s">
        <v>40</v>
      </c>
      <c r="H26" s="9">
        <v>0.54166666666666663</v>
      </c>
      <c r="I26" s="12">
        <v>0.60416666666666663</v>
      </c>
      <c r="J26" s="14" t="s">
        <v>219</v>
      </c>
      <c r="K26" s="14" t="s">
        <v>220</v>
      </c>
      <c r="L26" s="14" t="s">
        <v>221</v>
      </c>
      <c r="M26" s="14" t="s">
        <v>222</v>
      </c>
      <c r="N26" s="14" t="s">
        <v>275</v>
      </c>
      <c r="O26" s="14" t="s">
        <v>223</v>
      </c>
      <c r="P26" s="14" t="s">
        <v>224</v>
      </c>
      <c r="Q26" s="14" t="s">
        <v>225</v>
      </c>
      <c r="R26" s="14" t="s">
        <v>226</v>
      </c>
      <c r="S26" s="14" t="s">
        <v>236</v>
      </c>
      <c r="T26" s="8"/>
      <c r="U26" s="14"/>
      <c r="V26" s="14"/>
      <c r="W26" s="14"/>
      <c r="X26" s="14"/>
      <c r="Y26" s="14"/>
      <c r="Z26" s="13" t="str">
        <f t="array" ref="Z26">LOOKUP(2,1/(A26:Y26&lt;&gt;""),A26:Y26)</f>
        <v>11/02/2026</v>
      </c>
      <c r="AA26" s="6" t="str">
        <f t="shared" si="0"/>
        <v>פברואר</v>
      </c>
    </row>
    <row r="27" spans="1:27" s="4" customFormat="1" ht="25.1" customHeight="1">
      <c r="A27" s="6" t="s">
        <v>159</v>
      </c>
      <c r="B27" s="6" t="s">
        <v>45</v>
      </c>
      <c r="C27" s="11" t="s">
        <v>134</v>
      </c>
      <c r="D27" s="6" t="s">
        <v>156</v>
      </c>
      <c r="E27" s="6" t="s">
        <v>34</v>
      </c>
      <c r="F27" s="6" t="s">
        <v>157</v>
      </c>
      <c r="G27" s="6" t="s">
        <v>40</v>
      </c>
      <c r="H27" s="9">
        <v>0.43055555555555558</v>
      </c>
      <c r="I27" s="12">
        <v>0.49305555555555558</v>
      </c>
      <c r="J27" s="14" t="s">
        <v>276</v>
      </c>
      <c r="K27" s="14" t="s">
        <v>277</v>
      </c>
      <c r="L27" s="14" t="s">
        <v>278</v>
      </c>
      <c r="M27" s="14" t="s">
        <v>217</v>
      </c>
      <c r="N27" s="14" t="s">
        <v>218</v>
      </c>
      <c r="O27" s="14" t="s">
        <v>219</v>
      </c>
      <c r="P27" s="14" t="s">
        <v>220</v>
      </c>
      <c r="Q27" s="14" t="s">
        <v>221</v>
      </c>
      <c r="R27" s="14" t="s">
        <v>222</v>
      </c>
      <c r="S27" s="14" t="s">
        <v>223</v>
      </c>
      <c r="T27" s="14" t="s">
        <v>224</v>
      </c>
      <c r="U27" s="14" t="s">
        <v>225</v>
      </c>
      <c r="V27" s="14" t="s">
        <v>226</v>
      </c>
      <c r="W27" s="14" t="s">
        <v>227</v>
      </c>
      <c r="X27" s="14" t="s">
        <v>236</v>
      </c>
      <c r="Y27" s="14"/>
      <c r="Z27" s="13" t="str">
        <f t="array" ref="Z27">LOOKUP(2,1/(A27:Y27&lt;&gt;""),A27:Y27)</f>
        <v>11/02/2026</v>
      </c>
      <c r="AA27" s="6" t="str">
        <f t="shared" si="0"/>
        <v>פברואר</v>
      </c>
    </row>
    <row r="28" spans="1:27" s="4" customFormat="1" ht="25.1" customHeight="1">
      <c r="A28" s="6" t="s">
        <v>159</v>
      </c>
      <c r="B28" s="6" t="s">
        <v>158</v>
      </c>
      <c r="C28" s="11" t="s">
        <v>134</v>
      </c>
      <c r="D28" s="6" t="s">
        <v>156</v>
      </c>
      <c r="E28" s="6" t="s">
        <v>34</v>
      </c>
      <c r="F28" s="6" t="s">
        <v>157</v>
      </c>
      <c r="G28" s="6" t="s">
        <v>40</v>
      </c>
      <c r="H28" s="9">
        <v>0.5</v>
      </c>
      <c r="I28" s="12">
        <v>0.5625</v>
      </c>
      <c r="J28" s="14" t="s">
        <v>276</v>
      </c>
      <c r="K28" s="14" t="s">
        <v>277</v>
      </c>
      <c r="L28" s="14" t="s">
        <v>278</v>
      </c>
      <c r="M28" s="14" t="s">
        <v>217</v>
      </c>
      <c r="N28" s="14" t="s">
        <v>218</v>
      </c>
      <c r="O28" s="14" t="s">
        <v>219</v>
      </c>
      <c r="P28" s="14" t="s">
        <v>220</v>
      </c>
      <c r="Q28" s="14" t="s">
        <v>221</v>
      </c>
      <c r="R28" s="14" t="s">
        <v>258</v>
      </c>
      <c r="S28" s="14" t="s">
        <v>223</v>
      </c>
      <c r="T28" s="14" t="s">
        <v>224</v>
      </c>
      <c r="U28" s="14" t="s">
        <v>225</v>
      </c>
      <c r="V28" s="14" t="s">
        <v>226</v>
      </c>
      <c r="W28" s="14" t="s">
        <v>227</v>
      </c>
      <c r="X28" s="14" t="s">
        <v>236</v>
      </c>
      <c r="Y28" s="14"/>
      <c r="Z28" s="13" t="str">
        <f t="array" ref="Z28">LOOKUP(2,1/(A28:Y28&lt;&gt;""),A28:Y28)</f>
        <v>11/02/2026</v>
      </c>
      <c r="AA28" s="6" t="str">
        <f t="shared" si="0"/>
        <v>פברואר</v>
      </c>
    </row>
    <row r="29" spans="1:27" s="4" customFormat="1" ht="25.1" customHeight="1">
      <c r="A29" s="6" t="s">
        <v>161</v>
      </c>
      <c r="B29" s="6" t="s">
        <v>32</v>
      </c>
      <c r="C29" s="11" t="s">
        <v>134</v>
      </c>
      <c r="D29" s="6" t="s">
        <v>156</v>
      </c>
      <c r="E29" s="6" t="s">
        <v>34</v>
      </c>
      <c r="F29" s="6" t="s">
        <v>160</v>
      </c>
      <c r="G29" s="6" t="s">
        <v>40</v>
      </c>
      <c r="H29" s="9">
        <v>0.33333333333333331</v>
      </c>
      <c r="I29" s="12">
        <v>0.39583333333333331</v>
      </c>
      <c r="J29" s="14" t="s">
        <v>277</v>
      </c>
      <c r="K29" s="14" t="s">
        <v>278</v>
      </c>
      <c r="L29" s="14" t="s">
        <v>217</v>
      </c>
      <c r="M29" s="14" t="s">
        <v>218</v>
      </c>
      <c r="N29" s="14" t="s">
        <v>219</v>
      </c>
      <c r="O29" s="14" t="s">
        <v>220</v>
      </c>
      <c r="P29" s="14" t="s">
        <v>221</v>
      </c>
      <c r="Q29" s="14" t="s">
        <v>222</v>
      </c>
      <c r="R29" s="14" t="s">
        <v>223</v>
      </c>
      <c r="S29" s="14" t="s">
        <v>224</v>
      </c>
      <c r="T29" s="14" t="s">
        <v>225</v>
      </c>
      <c r="U29" s="14" t="s">
        <v>226</v>
      </c>
      <c r="V29" s="14" t="s">
        <v>227</v>
      </c>
      <c r="W29" s="14" t="s">
        <v>236</v>
      </c>
      <c r="X29" s="14"/>
      <c r="Y29" s="14"/>
      <c r="Z29" s="13" t="str">
        <f t="array" ref="Z29">LOOKUP(2,1/(A29:Y29&lt;&gt;""),A29:Y29)</f>
        <v>11/02/2026</v>
      </c>
      <c r="AA29" s="6" t="str">
        <f t="shared" si="0"/>
        <v>פברואר</v>
      </c>
    </row>
    <row r="30" spans="1:27" s="4" customFormat="1" ht="25.1" customHeight="1">
      <c r="A30" s="6" t="s">
        <v>161</v>
      </c>
      <c r="B30" s="6" t="s">
        <v>45</v>
      </c>
      <c r="C30" s="11" t="s">
        <v>134</v>
      </c>
      <c r="D30" s="6" t="s">
        <v>156</v>
      </c>
      <c r="E30" s="6" t="s">
        <v>34</v>
      </c>
      <c r="F30" s="6" t="s">
        <v>163</v>
      </c>
      <c r="G30" s="6" t="s">
        <v>40</v>
      </c>
      <c r="H30" s="9">
        <v>0.54861111111111116</v>
      </c>
      <c r="I30" s="12">
        <v>0.60416666666666663</v>
      </c>
      <c r="J30" s="14" t="s">
        <v>187</v>
      </c>
      <c r="K30" s="14" t="s">
        <v>188</v>
      </c>
      <c r="L30" s="14" t="s">
        <v>189</v>
      </c>
      <c r="M30" s="14" t="s">
        <v>190</v>
      </c>
      <c r="N30" s="14" t="s">
        <v>191</v>
      </c>
      <c r="O30" s="14" t="s">
        <v>192</v>
      </c>
      <c r="P30" s="14" t="s">
        <v>223</v>
      </c>
      <c r="Q30" s="14" t="s">
        <v>224</v>
      </c>
      <c r="R30" s="14" t="s">
        <v>225</v>
      </c>
      <c r="S30" s="14" t="s">
        <v>226</v>
      </c>
      <c r="T30" s="14" t="s">
        <v>227</v>
      </c>
      <c r="U30" s="14" t="s">
        <v>236</v>
      </c>
      <c r="V30" s="14"/>
      <c r="W30" s="14"/>
      <c r="X30" s="14"/>
      <c r="Y30" s="14"/>
      <c r="Z30" s="13" t="str">
        <f t="array" ref="Z30">LOOKUP(2,1/(A30:Y30&lt;&gt;""),A30:Y30)</f>
        <v>11/02/2026</v>
      </c>
      <c r="AA30" s="6" t="str">
        <f t="shared" si="0"/>
        <v>פברואר</v>
      </c>
    </row>
    <row r="31" spans="1:27" s="4" customFormat="1" ht="25.1" customHeight="1">
      <c r="A31" s="6" t="s">
        <v>126</v>
      </c>
      <c r="B31" s="6" t="s">
        <v>158</v>
      </c>
      <c r="C31" s="11" t="s">
        <v>134</v>
      </c>
      <c r="D31" s="6" t="s">
        <v>156</v>
      </c>
      <c r="E31" s="6" t="s">
        <v>34</v>
      </c>
      <c r="F31" s="6" t="s">
        <v>157</v>
      </c>
      <c r="G31" s="6" t="s">
        <v>36</v>
      </c>
      <c r="H31" s="9">
        <v>0.34375</v>
      </c>
      <c r="I31" s="12">
        <v>0.44791666666666669</v>
      </c>
      <c r="J31" s="14" t="s">
        <v>252</v>
      </c>
      <c r="K31" s="14" t="s">
        <v>269</v>
      </c>
      <c r="L31" s="14" t="s">
        <v>270</v>
      </c>
      <c r="M31" s="14" t="s">
        <v>271</v>
      </c>
      <c r="N31" s="14" t="s">
        <v>272</v>
      </c>
      <c r="O31" s="14" t="s">
        <v>258</v>
      </c>
      <c r="P31" s="14" t="s">
        <v>259</v>
      </c>
      <c r="Q31" s="14" t="s">
        <v>274</v>
      </c>
      <c r="R31" s="14" t="s">
        <v>264</v>
      </c>
      <c r="S31" s="14" t="s">
        <v>265</v>
      </c>
      <c r="T31" s="14" t="s">
        <v>266</v>
      </c>
      <c r="U31" s="14" t="s">
        <v>267</v>
      </c>
      <c r="V31" s="14" t="s">
        <v>267</v>
      </c>
      <c r="W31" s="14"/>
      <c r="X31" s="14"/>
      <c r="Y31" s="14"/>
      <c r="Z31" s="13" t="str">
        <f t="array" ref="Z31">LOOKUP(2,1/(A31:Y31&lt;&gt;""),A31:Y31)</f>
        <v>12/02/2026</v>
      </c>
      <c r="AA31" s="6" t="str">
        <f t="shared" si="0"/>
        <v>פברואר</v>
      </c>
    </row>
    <row r="32" spans="1:27" s="4" customFormat="1" ht="25.1" customHeight="1">
      <c r="A32" s="6" t="s">
        <v>96</v>
      </c>
      <c r="B32" s="6" t="s">
        <v>76</v>
      </c>
      <c r="C32" s="11" t="s">
        <v>134</v>
      </c>
      <c r="D32" s="6" t="s">
        <v>94</v>
      </c>
      <c r="E32" s="6" t="s">
        <v>64</v>
      </c>
      <c r="F32" s="6" t="s">
        <v>95</v>
      </c>
      <c r="G32" s="6" t="s">
        <v>36</v>
      </c>
      <c r="H32" s="9">
        <v>0.46180555555555558</v>
      </c>
      <c r="I32" s="12">
        <v>0.53472222222222221</v>
      </c>
      <c r="J32" s="14" t="s">
        <v>252</v>
      </c>
      <c r="K32" s="14" t="s">
        <v>253</v>
      </c>
      <c r="L32" s="14" t="s">
        <v>254</v>
      </c>
      <c r="M32" s="14" t="s">
        <v>255</v>
      </c>
      <c r="N32" s="14" t="s">
        <v>256</v>
      </c>
      <c r="O32" s="14" t="s">
        <v>257</v>
      </c>
      <c r="P32" s="14" t="s">
        <v>258</v>
      </c>
      <c r="Q32" s="14" t="s">
        <v>259</v>
      </c>
      <c r="R32" s="14" t="s">
        <v>274</v>
      </c>
      <c r="S32" s="14" t="s">
        <v>264</v>
      </c>
      <c r="T32" s="14" t="s">
        <v>265</v>
      </c>
      <c r="U32" s="14" t="s">
        <v>266</v>
      </c>
      <c r="V32" s="14" t="s">
        <v>267</v>
      </c>
      <c r="W32" s="14"/>
      <c r="X32" s="14"/>
      <c r="Y32" s="14"/>
      <c r="Z32" s="13" t="str">
        <f t="array" ref="Z32">LOOKUP(2,1/(A32:Y32&lt;&gt;""),A32:Y32)</f>
        <v>12/02/2026</v>
      </c>
      <c r="AA32" s="6" t="str">
        <f t="shared" si="0"/>
        <v>פברואר</v>
      </c>
    </row>
    <row r="33" spans="1:27" s="4" customFormat="1" ht="25.1" customHeight="1">
      <c r="A33" s="6" t="s">
        <v>93</v>
      </c>
      <c r="B33" s="6" t="s">
        <v>76</v>
      </c>
      <c r="C33" s="11" t="s">
        <v>134</v>
      </c>
      <c r="D33" s="6" t="s">
        <v>94</v>
      </c>
      <c r="E33" s="6" t="s">
        <v>64</v>
      </c>
      <c r="F33" s="6" t="s">
        <v>95</v>
      </c>
      <c r="G33" s="6" t="s">
        <v>36</v>
      </c>
      <c r="H33" s="9">
        <v>0.46180555555555558</v>
      </c>
      <c r="I33" s="12">
        <v>0.53472222222222221</v>
      </c>
      <c r="J33" s="14" t="s">
        <v>252</v>
      </c>
      <c r="K33" s="14" t="s">
        <v>253</v>
      </c>
      <c r="L33" s="14" t="s">
        <v>254</v>
      </c>
      <c r="M33" s="14" t="s">
        <v>255</v>
      </c>
      <c r="N33" s="14" t="s">
        <v>256</v>
      </c>
      <c r="O33" s="14" t="s">
        <v>257</v>
      </c>
      <c r="P33" s="14" t="s">
        <v>258</v>
      </c>
      <c r="Q33" s="14" t="s">
        <v>259</v>
      </c>
      <c r="R33" s="14" t="s">
        <v>274</v>
      </c>
      <c r="S33" s="14" t="s">
        <v>264</v>
      </c>
      <c r="T33" s="14" t="s">
        <v>265</v>
      </c>
      <c r="U33" s="14" t="s">
        <v>266</v>
      </c>
      <c r="V33" s="14" t="s">
        <v>267</v>
      </c>
      <c r="W33" s="14"/>
      <c r="X33" s="14"/>
      <c r="Y33" s="14"/>
      <c r="Z33" s="13" t="str">
        <f t="array" ref="Z33">LOOKUP(2,1/(A33:Y33&lt;&gt;""),A33:Y33)</f>
        <v>12/02/2026</v>
      </c>
      <c r="AA33" s="6" t="str">
        <f t="shared" si="0"/>
        <v>פברואר</v>
      </c>
    </row>
    <row r="34" spans="1:27" s="4" customFormat="1" ht="25.1" customHeight="1">
      <c r="A34" s="6" t="s">
        <v>79</v>
      </c>
      <c r="B34" s="6" t="s">
        <v>41</v>
      </c>
      <c r="C34" s="11" t="s">
        <v>134</v>
      </c>
      <c r="D34" s="6" t="s">
        <v>42</v>
      </c>
      <c r="E34" s="6" t="s">
        <v>34</v>
      </c>
      <c r="F34" s="6" t="s">
        <v>140</v>
      </c>
      <c r="G34" s="6" t="s">
        <v>73</v>
      </c>
      <c r="H34" s="9">
        <v>0.34375</v>
      </c>
      <c r="I34" s="12">
        <v>0.40625</v>
      </c>
      <c r="J34" s="14" t="s">
        <v>279</v>
      </c>
      <c r="K34" s="14" t="s">
        <v>280</v>
      </c>
      <c r="L34" s="14" t="s">
        <v>281</v>
      </c>
      <c r="M34" s="14" t="s">
        <v>282</v>
      </c>
      <c r="N34" s="14" t="s">
        <v>283</v>
      </c>
      <c r="O34" s="14" t="s">
        <v>284</v>
      </c>
      <c r="P34" s="14" t="s">
        <v>285</v>
      </c>
      <c r="Q34" s="14" t="s">
        <v>286</v>
      </c>
      <c r="R34" s="14" t="s">
        <v>287</v>
      </c>
      <c r="S34" s="14" t="s">
        <v>288</v>
      </c>
      <c r="T34" s="14"/>
      <c r="U34" s="14"/>
      <c r="V34" s="14"/>
      <c r="W34" s="14"/>
      <c r="X34" s="14"/>
      <c r="Y34" s="14"/>
      <c r="Z34" s="13" t="str">
        <f t="array" ref="Z34">LOOKUP(2,1/(A34:Y34&lt;&gt;""),A34:Y34)</f>
        <v>13/02/2026</v>
      </c>
      <c r="AA34" s="6" t="str">
        <f t="shared" si="0"/>
        <v>פברואר</v>
      </c>
    </row>
    <row r="35" spans="1:27" s="4" customFormat="1" ht="25.1" customHeight="1">
      <c r="A35" s="6" t="s">
        <v>79</v>
      </c>
      <c r="B35" s="6" t="s">
        <v>41</v>
      </c>
      <c r="C35" s="11" t="s">
        <v>134</v>
      </c>
      <c r="D35" s="6" t="s">
        <v>42</v>
      </c>
      <c r="E35" s="6" t="s">
        <v>34</v>
      </c>
      <c r="F35" s="6" t="s">
        <v>146</v>
      </c>
      <c r="G35" s="6" t="s">
        <v>73</v>
      </c>
      <c r="H35" s="9">
        <v>0.4375</v>
      </c>
      <c r="I35" s="12">
        <v>0.49305555555555558</v>
      </c>
      <c r="J35" s="14" t="s">
        <v>279</v>
      </c>
      <c r="K35" s="14" t="s">
        <v>280</v>
      </c>
      <c r="L35" s="14" t="s">
        <v>281</v>
      </c>
      <c r="M35" s="14" t="s">
        <v>282</v>
      </c>
      <c r="N35" s="14" t="s">
        <v>283</v>
      </c>
      <c r="O35" s="14" t="s">
        <v>284</v>
      </c>
      <c r="P35" s="14" t="s">
        <v>285</v>
      </c>
      <c r="Q35" s="14" t="s">
        <v>286</v>
      </c>
      <c r="R35" s="14" t="s">
        <v>287</v>
      </c>
      <c r="S35" s="14" t="s">
        <v>288</v>
      </c>
      <c r="T35" s="14"/>
      <c r="U35" s="14"/>
      <c r="V35" s="14"/>
      <c r="W35" s="14"/>
      <c r="X35" s="14"/>
      <c r="Y35" s="14"/>
      <c r="Z35" s="13" t="str">
        <f t="array" ref="Z35">LOOKUP(2,1/(A35:Y35&lt;&gt;""),A35:Y35)</f>
        <v>13/02/2026</v>
      </c>
      <c r="AA35" s="6" t="str">
        <f t="shared" si="0"/>
        <v>פברואר</v>
      </c>
    </row>
    <row r="36" spans="1:27" s="4" customFormat="1" ht="25.1" customHeight="1">
      <c r="A36" s="6" t="s">
        <v>70</v>
      </c>
      <c r="B36" s="6" t="s">
        <v>148</v>
      </c>
      <c r="C36" s="11" t="s">
        <v>134</v>
      </c>
      <c r="D36" s="6" t="s">
        <v>71</v>
      </c>
      <c r="E36" s="6" t="s">
        <v>64</v>
      </c>
      <c r="F36" s="6" t="s">
        <v>72</v>
      </c>
      <c r="G36" s="6" t="s">
        <v>73</v>
      </c>
      <c r="H36" s="9">
        <v>0.34722222222222221</v>
      </c>
      <c r="I36" s="12">
        <v>0.40625</v>
      </c>
      <c r="J36" s="14" t="s">
        <v>283</v>
      </c>
      <c r="K36" s="14" t="s">
        <v>284</v>
      </c>
      <c r="L36" s="14" t="s">
        <v>285</v>
      </c>
      <c r="M36" s="14" t="s">
        <v>286</v>
      </c>
      <c r="N36" s="14" t="s">
        <v>287</v>
      </c>
      <c r="O36" s="14" t="s">
        <v>288</v>
      </c>
      <c r="P36" s="14" t="s">
        <v>289</v>
      </c>
      <c r="Q36" s="14" t="s">
        <v>290</v>
      </c>
      <c r="R36" s="14" t="s">
        <v>291</v>
      </c>
      <c r="S36" s="14" t="s">
        <v>292</v>
      </c>
      <c r="T36" s="14"/>
      <c r="U36" s="14"/>
      <c r="V36" s="14"/>
      <c r="W36" s="14"/>
      <c r="X36" s="14"/>
      <c r="Y36" s="14"/>
      <c r="Z36" s="13" t="str">
        <f t="array" ref="Z36">LOOKUP(2,1/(A36:Y36&lt;&gt;""),A36:Y36)</f>
        <v>13/03/2026</v>
      </c>
      <c r="AA36" s="6" t="str">
        <f t="shared" si="0"/>
        <v>מרץ</v>
      </c>
    </row>
    <row r="37" spans="1:27" s="4" customFormat="1" ht="25.1" customHeight="1">
      <c r="A37" s="6" t="s">
        <v>79</v>
      </c>
      <c r="B37" s="6" t="s">
        <v>45</v>
      </c>
      <c r="C37" s="11" t="s">
        <v>134</v>
      </c>
      <c r="D37" s="6" t="s">
        <v>86</v>
      </c>
      <c r="E37" s="6" t="s">
        <v>64</v>
      </c>
      <c r="F37" s="6" t="s">
        <v>87</v>
      </c>
      <c r="G37" s="6" t="s">
        <v>48</v>
      </c>
      <c r="H37" s="9">
        <v>0.36805555555555558</v>
      </c>
      <c r="I37" s="12">
        <v>0.45833333333333331</v>
      </c>
      <c r="J37" s="14" t="s">
        <v>199</v>
      </c>
      <c r="K37" s="14" t="s">
        <v>200</v>
      </c>
      <c r="L37" s="14" t="s">
        <v>201</v>
      </c>
      <c r="M37" s="14" t="s">
        <v>202</v>
      </c>
      <c r="N37" s="14" t="s">
        <v>177</v>
      </c>
      <c r="O37" s="14" t="s">
        <v>178</v>
      </c>
      <c r="P37" s="14" t="s">
        <v>179</v>
      </c>
      <c r="Q37" s="14" t="s">
        <v>180</v>
      </c>
      <c r="R37" s="8"/>
      <c r="S37" s="8"/>
      <c r="T37" s="8"/>
      <c r="U37" s="14"/>
      <c r="V37" s="14"/>
      <c r="W37" s="14"/>
      <c r="X37" s="14"/>
      <c r="Y37" s="14"/>
      <c r="Z37" s="13" t="str">
        <f t="array" ref="Z37">LOOKUP(2,1/(A37:Y37&lt;&gt;""),A37:Y37)</f>
        <v>13/04/2026</v>
      </c>
      <c r="AA37" s="6" t="str">
        <f t="shared" si="0"/>
        <v>אפריל</v>
      </c>
    </row>
    <row r="38" spans="1:27" s="4" customFormat="1" ht="25.1" customHeight="1">
      <c r="A38" s="6" t="s">
        <v>79</v>
      </c>
      <c r="B38" s="6" t="s">
        <v>45</v>
      </c>
      <c r="C38" s="11" t="s">
        <v>134</v>
      </c>
      <c r="D38" s="6" t="s">
        <v>88</v>
      </c>
      <c r="E38" s="6" t="s">
        <v>64</v>
      </c>
      <c r="F38" s="6" t="s">
        <v>89</v>
      </c>
      <c r="G38" s="6" t="s">
        <v>48</v>
      </c>
      <c r="H38" s="9">
        <v>0.59375</v>
      </c>
      <c r="I38" s="12">
        <v>0.64583333333333337</v>
      </c>
      <c r="J38" s="14" t="s">
        <v>199</v>
      </c>
      <c r="K38" s="14" t="s">
        <v>200</v>
      </c>
      <c r="L38" s="14" t="s">
        <v>201</v>
      </c>
      <c r="M38" s="14" t="s">
        <v>202</v>
      </c>
      <c r="N38" s="14" t="s">
        <v>177</v>
      </c>
      <c r="O38" s="14" t="s">
        <v>178</v>
      </c>
      <c r="P38" s="14" t="s">
        <v>179</v>
      </c>
      <c r="Q38" s="14" t="s">
        <v>180</v>
      </c>
      <c r="R38" s="8"/>
      <c r="S38" s="8"/>
      <c r="T38" s="8"/>
      <c r="U38" s="14"/>
      <c r="V38" s="14"/>
      <c r="W38" s="14"/>
      <c r="X38" s="14"/>
      <c r="Y38" s="14"/>
      <c r="Z38" s="13" t="str">
        <f t="array" ref="Z38">LOOKUP(2,1/(A38:Y38&lt;&gt;""),A38:Y38)</f>
        <v>13/04/2026</v>
      </c>
      <c r="AA38" s="6" t="str">
        <f t="shared" si="0"/>
        <v>אפריל</v>
      </c>
    </row>
    <row r="39" spans="1:27" s="4" customFormat="1" ht="25.1" customHeight="1">
      <c r="A39" s="6" t="s">
        <v>31</v>
      </c>
      <c r="B39" s="6" t="s">
        <v>51</v>
      </c>
      <c r="C39" s="11" t="s">
        <v>134</v>
      </c>
      <c r="D39" s="6" t="s">
        <v>57</v>
      </c>
      <c r="E39" s="6" t="s">
        <v>34</v>
      </c>
      <c r="F39" s="6" t="s">
        <v>58</v>
      </c>
      <c r="G39" s="6" t="s">
        <v>43</v>
      </c>
      <c r="H39" s="9">
        <v>0.40972222222222221</v>
      </c>
      <c r="I39" s="12">
        <v>0.48958333333333331</v>
      </c>
      <c r="J39" s="14" t="s">
        <v>209</v>
      </c>
      <c r="K39" s="14" t="s">
        <v>210</v>
      </c>
      <c r="L39" s="14" t="s">
        <v>211</v>
      </c>
      <c r="M39" s="14" t="s">
        <v>212</v>
      </c>
      <c r="N39" s="14" t="s">
        <v>228</v>
      </c>
      <c r="O39" s="14" t="s">
        <v>229</v>
      </c>
      <c r="P39" s="14" t="s">
        <v>230</v>
      </c>
      <c r="Q39" s="14" t="s">
        <v>231</v>
      </c>
      <c r="R39" s="14" t="s">
        <v>232</v>
      </c>
      <c r="S39" s="14" t="s">
        <v>233</v>
      </c>
      <c r="T39" s="8"/>
      <c r="U39" s="14"/>
      <c r="V39" s="14"/>
      <c r="W39" s="14"/>
      <c r="X39" s="14"/>
      <c r="Y39" s="14"/>
      <c r="Z39" s="13" t="str">
        <f t="array" ref="Z39">LOOKUP(2,1/(A39:Y39&lt;&gt;""),A39:Y39)</f>
        <v>14/04/2026</v>
      </c>
      <c r="AA39" s="6" t="str">
        <f t="shared" si="0"/>
        <v>אפריל</v>
      </c>
    </row>
    <row r="40" spans="1:27" s="4" customFormat="1" ht="25.1" customHeight="1">
      <c r="A40" s="6" t="s">
        <v>79</v>
      </c>
      <c r="B40" s="6" t="s">
        <v>32</v>
      </c>
      <c r="C40" s="11" t="s">
        <v>134</v>
      </c>
      <c r="D40" s="6" t="s">
        <v>80</v>
      </c>
      <c r="E40" s="6" t="s">
        <v>64</v>
      </c>
      <c r="F40" s="6" t="s">
        <v>81</v>
      </c>
      <c r="G40" s="6" t="s">
        <v>43</v>
      </c>
      <c r="H40" s="9">
        <v>0.34375</v>
      </c>
      <c r="I40" s="12">
        <v>0.40625</v>
      </c>
      <c r="J40" s="14" t="s">
        <v>209</v>
      </c>
      <c r="K40" s="14" t="s">
        <v>210</v>
      </c>
      <c r="L40" s="14" t="s">
        <v>211</v>
      </c>
      <c r="M40" s="14" t="s">
        <v>212</v>
      </c>
      <c r="N40" s="14" t="s">
        <v>228</v>
      </c>
      <c r="O40" s="14" t="s">
        <v>229</v>
      </c>
      <c r="P40" s="14" t="s">
        <v>230</v>
      </c>
      <c r="Q40" s="14" t="s">
        <v>231</v>
      </c>
      <c r="R40" s="14" t="s">
        <v>232</v>
      </c>
      <c r="S40" s="14" t="s">
        <v>233</v>
      </c>
      <c r="T40" s="8"/>
      <c r="U40" s="14"/>
      <c r="V40" s="14"/>
      <c r="W40" s="14"/>
      <c r="X40" s="14"/>
      <c r="Y40" s="14"/>
      <c r="Z40" s="13" t="str">
        <f t="array" ref="Z40">LOOKUP(2,1/(A40:Y40&lt;&gt;""),A40:Y40)</f>
        <v>14/04/2026</v>
      </c>
      <c r="AA40" s="6" t="str">
        <f t="shared" si="0"/>
        <v>אפריל</v>
      </c>
    </row>
    <row r="41" spans="1:27" s="4" customFormat="1" ht="25.1" customHeight="1">
      <c r="A41" s="6" t="s">
        <v>67</v>
      </c>
      <c r="B41" s="6" t="s">
        <v>32</v>
      </c>
      <c r="C41" s="11" t="s">
        <v>134</v>
      </c>
      <c r="D41" s="6" t="s">
        <v>63</v>
      </c>
      <c r="E41" s="6" t="s">
        <v>64</v>
      </c>
      <c r="F41" s="6" t="s">
        <v>65</v>
      </c>
      <c r="G41" s="6" t="s">
        <v>40</v>
      </c>
      <c r="H41" s="9">
        <v>0.33333333333333331</v>
      </c>
      <c r="I41" s="12">
        <v>0.40277777777777779</v>
      </c>
      <c r="J41" s="14" t="s">
        <v>224</v>
      </c>
      <c r="K41" s="14" t="s">
        <v>225</v>
      </c>
      <c r="L41" s="14" t="s">
        <v>226</v>
      </c>
      <c r="M41" s="14" t="s">
        <v>227</v>
      </c>
      <c r="N41" s="14" t="s">
        <v>236</v>
      </c>
      <c r="O41" s="14" t="s">
        <v>237</v>
      </c>
      <c r="P41" s="14" t="s">
        <v>238</v>
      </c>
      <c r="Q41" s="14" t="s">
        <v>239</v>
      </c>
      <c r="R41" s="14" t="s">
        <v>240</v>
      </c>
      <c r="S41" s="14" t="s">
        <v>241</v>
      </c>
      <c r="T41" s="8"/>
      <c r="U41" s="14"/>
      <c r="V41" s="14"/>
      <c r="W41" s="14"/>
      <c r="X41" s="14"/>
      <c r="Y41" s="14"/>
      <c r="Z41" s="13" t="str">
        <f t="array" ref="Z41">LOOKUP(2,1/(A41:Y41&lt;&gt;""),A41:Y41)</f>
        <v>15/04/2026</v>
      </c>
      <c r="AA41" s="6" t="str">
        <f t="shared" si="0"/>
        <v>אפריל</v>
      </c>
    </row>
    <row r="42" spans="1:27" s="4" customFormat="1" ht="25.1" customHeight="1">
      <c r="A42" s="6" t="s">
        <v>59</v>
      </c>
      <c r="B42" s="6" t="s">
        <v>32</v>
      </c>
      <c r="C42" s="11" t="s">
        <v>134</v>
      </c>
      <c r="D42" s="6" t="s">
        <v>60</v>
      </c>
      <c r="E42" s="6" t="s">
        <v>34</v>
      </c>
      <c r="F42" s="6" t="s">
        <v>61</v>
      </c>
      <c r="G42" s="6" t="s">
        <v>48</v>
      </c>
      <c r="H42" s="9">
        <v>0.42708333333333331</v>
      </c>
      <c r="I42" s="12">
        <v>0.48958333333333331</v>
      </c>
      <c r="J42" s="14" t="s">
        <v>195</v>
      </c>
      <c r="K42" s="14" t="s">
        <v>196</v>
      </c>
      <c r="L42" s="14" t="s">
        <v>197</v>
      </c>
      <c r="M42" s="14" t="s">
        <v>198</v>
      </c>
      <c r="N42" s="14" t="s">
        <v>199</v>
      </c>
      <c r="O42" s="14" t="s">
        <v>200</v>
      </c>
      <c r="P42" s="14" t="s">
        <v>201</v>
      </c>
      <c r="Q42" s="14" t="s">
        <v>202</v>
      </c>
      <c r="R42" s="14" t="s">
        <v>177</v>
      </c>
      <c r="S42" s="14" t="s">
        <v>178</v>
      </c>
      <c r="T42" s="14"/>
      <c r="U42" s="14"/>
      <c r="V42" s="14"/>
      <c r="W42" s="14"/>
      <c r="X42" s="14"/>
      <c r="Y42" s="14"/>
      <c r="Z42" s="13" t="str">
        <f t="array" ref="Z42">LOOKUP(2,1/(A42:Y42&lt;&gt;""),A42:Y42)</f>
        <v>16/03/2026</v>
      </c>
      <c r="AA42" s="6" t="str">
        <f t="shared" si="0"/>
        <v>מרץ</v>
      </c>
    </row>
    <row r="43" spans="1:27" s="4" customFormat="1" ht="25.1" customHeight="1">
      <c r="A43" s="6" t="s">
        <v>59</v>
      </c>
      <c r="B43" s="6" t="s">
        <v>32</v>
      </c>
      <c r="C43" s="11" t="s">
        <v>134</v>
      </c>
      <c r="D43" s="6" t="s">
        <v>60</v>
      </c>
      <c r="E43" s="6" t="s">
        <v>34</v>
      </c>
      <c r="F43" s="6" t="s">
        <v>61</v>
      </c>
      <c r="G43" s="6" t="s">
        <v>48</v>
      </c>
      <c r="H43" s="9">
        <v>0.5</v>
      </c>
      <c r="I43" s="12">
        <v>0.56944444444444442</v>
      </c>
      <c r="J43" s="14" t="s">
        <v>195</v>
      </c>
      <c r="K43" s="14" t="s">
        <v>196</v>
      </c>
      <c r="L43" s="14" t="s">
        <v>197</v>
      </c>
      <c r="M43" s="14" t="s">
        <v>198</v>
      </c>
      <c r="N43" s="14" t="s">
        <v>199</v>
      </c>
      <c r="O43" s="14" t="s">
        <v>200</v>
      </c>
      <c r="P43" s="14" t="s">
        <v>201</v>
      </c>
      <c r="Q43" s="14" t="s">
        <v>202</v>
      </c>
      <c r="R43" s="14" t="s">
        <v>177</v>
      </c>
      <c r="S43" s="14" t="s">
        <v>178</v>
      </c>
      <c r="T43" s="14"/>
      <c r="U43" s="14"/>
      <c r="V43" s="14"/>
      <c r="W43" s="14"/>
      <c r="X43" s="14"/>
      <c r="Y43" s="14"/>
      <c r="Z43" s="13" t="str">
        <f t="array" ref="Z43">LOOKUP(2,1/(A43:Y43&lt;&gt;""),A43:Y43)</f>
        <v>16/03/2026</v>
      </c>
      <c r="AA43" s="6" t="str">
        <f t="shared" si="0"/>
        <v>מרץ</v>
      </c>
    </row>
    <row r="44" spans="1:27" s="4" customFormat="1" ht="25.1" customHeight="1">
      <c r="A44" s="6" t="s">
        <v>31</v>
      </c>
      <c r="B44" s="6" t="s">
        <v>51</v>
      </c>
      <c r="C44" s="11" t="s">
        <v>134</v>
      </c>
      <c r="D44" s="6" t="s">
        <v>57</v>
      </c>
      <c r="E44" s="6" t="s">
        <v>34</v>
      </c>
      <c r="F44" s="6" t="s">
        <v>58</v>
      </c>
      <c r="G44" s="6" t="s">
        <v>48</v>
      </c>
      <c r="H44" s="9">
        <v>0.48958333333333331</v>
      </c>
      <c r="I44" s="12">
        <v>0.55902777777777779</v>
      </c>
      <c r="J44" s="14" t="s">
        <v>195</v>
      </c>
      <c r="K44" s="14" t="s">
        <v>196</v>
      </c>
      <c r="L44" s="14" t="s">
        <v>197</v>
      </c>
      <c r="M44" s="14" t="s">
        <v>198</v>
      </c>
      <c r="N44" s="14" t="s">
        <v>199</v>
      </c>
      <c r="O44" s="14" t="s">
        <v>200</v>
      </c>
      <c r="P44" s="14" t="s">
        <v>201</v>
      </c>
      <c r="Q44" s="14" t="s">
        <v>202</v>
      </c>
      <c r="R44" s="14" t="s">
        <v>177</v>
      </c>
      <c r="S44" s="14" t="s">
        <v>178</v>
      </c>
      <c r="T44" s="8"/>
      <c r="U44" s="14"/>
      <c r="V44" s="14"/>
      <c r="W44" s="14"/>
      <c r="X44" s="14"/>
      <c r="Y44" s="14"/>
      <c r="Z44" s="13" t="str">
        <f t="array" ref="Z44">LOOKUP(2,1/(A44:Y44&lt;&gt;""),A44:Y44)</f>
        <v>16/03/2026</v>
      </c>
      <c r="AA44" s="6" t="str">
        <f t="shared" si="0"/>
        <v>מרץ</v>
      </c>
    </row>
    <row r="45" spans="1:27" s="4" customFormat="1" ht="25.1" customHeight="1">
      <c r="A45" s="6" t="s">
        <v>161</v>
      </c>
      <c r="B45" s="6" t="s">
        <v>68</v>
      </c>
      <c r="C45" s="11" t="s">
        <v>134</v>
      </c>
      <c r="D45" s="6" t="s">
        <v>156</v>
      </c>
      <c r="E45" s="6" t="s">
        <v>34</v>
      </c>
      <c r="F45" s="6" t="s">
        <v>163</v>
      </c>
      <c r="G45" s="6" t="s">
        <v>43</v>
      </c>
      <c r="H45" s="9">
        <v>0.47916666666666669</v>
      </c>
      <c r="I45" s="12">
        <v>0.53819444444444442</v>
      </c>
      <c r="J45" s="14" t="s">
        <v>214</v>
      </c>
      <c r="K45" s="14" t="s">
        <v>215</v>
      </c>
      <c r="L45" s="14" t="s">
        <v>216</v>
      </c>
      <c r="M45" s="14" t="s">
        <v>203</v>
      </c>
      <c r="N45" s="14" t="s">
        <v>204</v>
      </c>
      <c r="O45" s="14" t="s">
        <v>205</v>
      </c>
      <c r="P45" s="14" t="s">
        <v>206</v>
      </c>
      <c r="Q45" s="14" t="s">
        <v>207</v>
      </c>
      <c r="R45" s="14" t="s">
        <v>208</v>
      </c>
      <c r="S45" s="14" t="s">
        <v>209</v>
      </c>
      <c r="T45" s="14" t="s">
        <v>210</v>
      </c>
      <c r="U45" s="14" t="s">
        <v>211</v>
      </c>
      <c r="V45" s="14" t="s">
        <v>212</v>
      </c>
      <c r="W45" s="14" t="s">
        <v>228</v>
      </c>
      <c r="X45" s="14" t="s">
        <v>229</v>
      </c>
      <c r="Y45" s="14"/>
      <c r="Z45" s="13" t="str">
        <f t="array" ref="Z45">LOOKUP(2,1/(A45:Y45&lt;&gt;""),A45:Y45)</f>
        <v>17/02/2026</v>
      </c>
      <c r="AA45" s="6" t="str">
        <f t="shared" si="0"/>
        <v>פברואר</v>
      </c>
    </row>
    <row r="46" spans="1:27" s="4" customFormat="1" ht="25.1" customHeight="1">
      <c r="A46" s="6" t="s">
        <v>161</v>
      </c>
      <c r="B46" s="6" t="s">
        <v>45</v>
      </c>
      <c r="C46" s="11" t="s">
        <v>134</v>
      </c>
      <c r="D46" s="6" t="s">
        <v>156</v>
      </c>
      <c r="E46" s="6" t="s">
        <v>34</v>
      </c>
      <c r="F46" s="6" t="s">
        <v>163</v>
      </c>
      <c r="G46" s="6" t="s">
        <v>43</v>
      </c>
      <c r="H46" s="9">
        <v>0.40625</v>
      </c>
      <c r="I46" s="12">
        <v>0.46875</v>
      </c>
      <c r="J46" s="14" t="s">
        <v>187</v>
      </c>
      <c r="K46" s="14" t="s">
        <v>188</v>
      </c>
      <c r="L46" s="14" t="s">
        <v>189</v>
      </c>
      <c r="M46" s="14" t="s">
        <v>190</v>
      </c>
      <c r="N46" s="14" t="s">
        <v>191</v>
      </c>
      <c r="O46" s="14" t="s">
        <v>192</v>
      </c>
      <c r="P46" s="14" t="s">
        <v>209</v>
      </c>
      <c r="Q46" s="14" t="s">
        <v>210</v>
      </c>
      <c r="R46" s="14" t="s">
        <v>211</v>
      </c>
      <c r="S46" s="14" t="s">
        <v>212</v>
      </c>
      <c r="T46" s="14" t="s">
        <v>228</v>
      </c>
      <c r="U46" s="14" t="s">
        <v>229</v>
      </c>
      <c r="V46" s="14"/>
      <c r="W46" s="14"/>
      <c r="X46" s="14"/>
      <c r="Y46" s="14"/>
      <c r="Z46" s="13" t="str">
        <f t="array" ref="Z46">LOOKUP(2,1/(A46:Y46&lt;&gt;""),A46:Y46)</f>
        <v>17/02/2026</v>
      </c>
      <c r="AA46" s="6" t="str">
        <f t="shared" si="0"/>
        <v>פברואר</v>
      </c>
    </row>
    <row r="47" spans="1:27" s="4" customFormat="1" ht="25.1" customHeight="1">
      <c r="A47" s="6" t="s">
        <v>103</v>
      </c>
      <c r="B47" s="6" t="s">
        <v>45</v>
      </c>
      <c r="C47" s="11" t="s">
        <v>134</v>
      </c>
      <c r="D47" s="6" t="s">
        <v>104</v>
      </c>
      <c r="E47" s="6" t="s">
        <v>34</v>
      </c>
      <c r="F47" s="6" t="s">
        <v>105</v>
      </c>
      <c r="G47" s="6" t="s">
        <v>43</v>
      </c>
      <c r="H47" s="9">
        <v>0.42708333333333331</v>
      </c>
      <c r="I47" s="12">
        <v>0.48958333333333331</v>
      </c>
      <c r="J47" s="14" t="s">
        <v>203</v>
      </c>
      <c r="K47" s="14" t="s">
        <v>204</v>
      </c>
      <c r="L47" s="14" t="s">
        <v>205</v>
      </c>
      <c r="M47" s="14" t="s">
        <v>206</v>
      </c>
      <c r="N47" s="14" t="s">
        <v>207</v>
      </c>
      <c r="O47" s="14" t="s">
        <v>208</v>
      </c>
      <c r="P47" s="14" t="s">
        <v>209</v>
      </c>
      <c r="Q47" s="14" t="s">
        <v>210</v>
      </c>
      <c r="R47" s="14" t="s">
        <v>211</v>
      </c>
      <c r="S47" s="14" t="s">
        <v>212</v>
      </c>
      <c r="T47" s="14" t="s">
        <v>228</v>
      </c>
      <c r="U47" s="14" t="s">
        <v>229</v>
      </c>
      <c r="V47" s="14"/>
      <c r="W47" s="14"/>
      <c r="X47" s="14"/>
      <c r="Y47" s="14"/>
      <c r="Z47" s="13" t="str">
        <f t="array" ref="Z47">LOOKUP(2,1/(A47:Y47&lt;&gt;""),A47:Y47)</f>
        <v>17/02/2026</v>
      </c>
      <c r="AA47" s="6" t="str">
        <f t="shared" si="0"/>
        <v>פברואר</v>
      </c>
    </row>
    <row r="48" spans="1:27" s="4" customFormat="1" ht="25.1" customHeight="1">
      <c r="A48" s="6" t="s">
        <v>31</v>
      </c>
      <c r="B48" s="6" t="s">
        <v>56</v>
      </c>
      <c r="C48" s="11" t="s">
        <v>134</v>
      </c>
      <c r="D48" s="6" t="s">
        <v>57</v>
      </c>
      <c r="E48" s="6" t="s">
        <v>34</v>
      </c>
      <c r="F48" s="6" t="s">
        <v>58</v>
      </c>
      <c r="G48" s="6" t="s">
        <v>43</v>
      </c>
      <c r="H48" s="9">
        <v>0.48958333333333331</v>
      </c>
      <c r="I48" s="12">
        <v>0.55902777777777779</v>
      </c>
      <c r="J48" s="14" t="s">
        <v>209</v>
      </c>
      <c r="K48" s="14" t="s">
        <v>210</v>
      </c>
      <c r="L48" s="14" t="s">
        <v>211</v>
      </c>
      <c r="M48" s="14" t="s">
        <v>212</v>
      </c>
      <c r="N48" s="14" t="s">
        <v>228</v>
      </c>
      <c r="O48" s="14" t="s">
        <v>229</v>
      </c>
      <c r="P48" s="14" t="s">
        <v>230</v>
      </c>
      <c r="Q48" s="14" t="s">
        <v>231</v>
      </c>
      <c r="R48" s="14" t="s">
        <v>232</v>
      </c>
      <c r="S48" s="8"/>
      <c r="T48" s="8"/>
      <c r="U48" s="14"/>
      <c r="V48" s="14"/>
      <c r="W48" s="14"/>
      <c r="X48" s="14"/>
      <c r="Y48" s="14"/>
      <c r="Z48" s="13" t="str">
        <f t="array" ref="Z48">LOOKUP(2,1/(A48:Y48&lt;&gt;""),A48:Y48)</f>
        <v>17/03/2026</v>
      </c>
      <c r="AA48" s="6" t="str">
        <f t="shared" si="0"/>
        <v>מרץ</v>
      </c>
    </row>
    <row r="49" spans="1:27" s="4" customFormat="1" ht="25.1" customHeight="1">
      <c r="A49" s="6" t="s">
        <v>67</v>
      </c>
      <c r="B49" s="6" t="s">
        <v>68</v>
      </c>
      <c r="C49" s="11" t="s">
        <v>134</v>
      </c>
      <c r="D49" s="6" t="s">
        <v>69</v>
      </c>
      <c r="E49" s="6" t="s">
        <v>64</v>
      </c>
      <c r="F49" s="6" t="s">
        <v>69</v>
      </c>
      <c r="G49" s="6" t="s">
        <v>40</v>
      </c>
      <c r="H49" s="9">
        <v>0.5</v>
      </c>
      <c r="I49" s="12">
        <v>0.5625</v>
      </c>
      <c r="J49" s="14" t="s">
        <v>236</v>
      </c>
      <c r="K49" s="14" t="s">
        <v>237</v>
      </c>
      <c r="L49" s="14" t="s">
        <v>238</v>
      </c>
      <c r="M49" s="14" t="s">
        <v>239</v>
      </c>
      <c r="N49" s="14" t="s">
        <v>240</v>
      </c>
      <c r="O49" s="14" t="s">
        <v>241</v>
      </c>
      <c r="P49" s="14" t="s">
        <v>242</v>
      </c>
      <c r="Q49" s="14" t="s">
        <v>243</v>
      </c>
      <c r="R49" s="14" t="s">
        <v>293</v>
      </c>
      <c r="S49" s="14" t="s">
        <v>294</v>
      </c>
      <c r="T49" s="14" t="s">
        <v>295</v>
      </c>
      <c r="U49" s="14" t="s">
        <v>296</v>
      </c>
      <c r="V49" s="14" t="s">
        <v>297</v>
      </c>
      <c r="W49" s="14" t="s">
        <v>298</v>
      </c>
      <c r="X49" s="14"/>
      <c r="Y49" s="14"/>
      <c r="Z49" s="13" t="str">
        <f t="array" ref="Z49">LOOKUP(2,1/(A49:Y49&lt;&gt;""),A49:Y49)</f>
        <v>17/06/2026</v>
      </c>
      <c r="AA49" s="6" t="str">
        <f t="shared" si="0"/>
        <v>יוני</v>
      </c>
    </row>
    <row r="50" spans="1:27" s="4" customFormat="1" ht="25.1" customHeight="1">
      <c r="A50" s="6" t="s">
        <v>96</v>
      </c>
      <c r="B50" s="6" t="s">
        <v>32</v>
      </c>
      <c r="C50" s="11" t="s">
        <v>134</v>
      </c>
      <c r="D50" s="6" t="s">
        <v>97</v>
      </c>
      <c r="E50" s="6" t="s">
        <v>64</v>
      </c>
      <c r="F50" s="6" t="s">
        <v>98</v>
      </c>
      <c r="G50" s="6" t="s">
        <v>66</v>
      </c>
      <c r="H50" s="9">
        <v>0.33333333333333331</v>
      </c>
      <c r="I50" s="12">
        <v>0.375</v>
      </c>
      <c r="J50" s="14" t="s">
        <v>299</v>
      </c>
      <c r="K50" s="14" t="s">
        <v>300</v>
      </c>
      <c r="L50" s="14" t="s">
        <v>301</v>
      </c>
      <c r="M50" s="14" t="s">
        <v>302</v>
      </c>
      <c r="N50" s="14" t="s">
        <v>303</v>
      </c>
      <c r="O50" s="14" t="s">
        <v>260</v>
      </c>
      <c r="P50" s="14" t="s">
        <v>261</v>
      </c>
      <c r="Q50" s="14" t="s">
        <v>262</v>
      </c>
      <c r="R50" s="14" t="s">
        <v>263</v>
      </c>
      <c r="S50" s="14" t="s">
        <v>164</v>
      </c>
      <c r="T50" s="14" t="s">
        <v>165</v>
      </c>
      <c r="U50" s="14" t="s">
        <v>166</v>
      </c>
      <c r="V50" s="14" t="s">
        <v>167</v>
      </c>
      <c r="W50" s="14" t="s">
        <v>168</v>
      </c>
      <c r="X50" s="14" t="s">
        <v>169</v>
      </c>
      <c r="Y50" s="14" t="s">
        <v>170</v>
      </c>
      <c r="Z50" s="13" t="str">
        <f t="array" ref="Z50">LOOKUP(2,1/(A50:Y50&lt;&gt;""),A50:Y50)</f>
        <v>18/01/2026</v>
      </c>
      <c r="AA50" s="6" t="str">
        <f t="shared" si="0"/>
        <v>ינואר</v>
      </c>
    </row>
    <row r="51" spans="1:27" s="4" customFormat="1" ht="25.1" customHeight="1">
      <c r="A51" s="6" t="s">
        <v>96</v>
      </c>
      <c r="B51" s="6" t="s">
        <v>32</v>
      </c>
      <c r="C51" s="11" t="s">
        <v>134</v>
      </c>
      <c r="D51" s="6" t="s">
        <v>97</v>
      </c>
      <c r="E51" s="6" t="s">
        <v>64</v>
      </c>
      <c r="F51" s="6" t="s">
        <v>98</v>
      </c>
      <c r="G51" s="6" t="s">
        <v>66</v>
      </c>
      <c r="H51" s="9">
        <v>0.375</v>
      </c>
      <c r="I51" s="12">
        <v>0.41666666666666669</v>
      </c>
      <c r="J51" s="14" t="s">
        <v>299</v>
      </c>
      <c r="K51" s="14" t="s">
        <v>300</v>
      </c>
      <c r="L51" s="14" t="s">
        <v>301</v>
      </c>
      <c r="M51" s="14" t="s">
        <v>302</v>
      </c>
      <c r="N51" s="14" t="s">
        <v>303</v>
      </c>
      <c r="O51" s="14" t="s">
        <v>260</v>
      </c>
      <c r="P51" s="14" t="s">
        <v>261</v>
      </c>
      <c r="Q51" s="14" t="s">
        <v>262</v>
      </c>
      <c r="R51" s="14" t="s">
        <v>263</v>
      </c>
      <c r="S51" s="14" t="s">
        <v>164</v>
      </c>
      <c r="T51" s="14" t="s">
        <v>165</v>
      </c>
      <c r="U51" s="14" t="s">
        <v>166</v>
      </c>
      <c r="V51" s="14" t="s">
        <v>167</v>
      </c>
      <c r="W51" s="14" t="s">
        <v>168</v>
      </c>
      <c r="X51" s="14" t="s">
        <v>169</v>
      </c>
      <c r="Y51" s="14" t="s">
        <v>170</v>
      </c>
      <c r="Z51" s="13" t="str">
        <f t="array" ref="Z51">LOOKUP(2,1/(A51:Y51&lt;&gt;""),A51:Y51)</f>
        <v>18/01/2026</v>
      </c>
      <c r="AA51" s="6" t="str">
        <f t="shared" si="0"/>
        <v>ינואר</v>
      </c>
    </row>
    <row r="52" spans="1:27" s="4" customFormat="1" ht="25.1" customHeight="1">
      <c r="A52" s="6" t="s">
        <v>96</v>
      </c>
      <c r="B52" s="6" t="s">
        <v>32</v>
      </c>
      <c r="C52" s="11" t="s">
        <v>134</v>
      </c>
      <c r="D52" s="6" t="s">
        <v>97</v>
      </c>
      <c r="E52" s="6" t="s">
        <v>64</v>
      </c>
      <c r="F52" s="6" t="s">
        <v>98</v>
      </c>
      <c r="G52" s="6" t="s">
        <v>66</v>
      </c>
      <c r="H52" s="9">
        <v>0.41666666666666669</v>
      </c>
      <c r="I52" s="12">
        <v>0.45833333333333331</v>
      </c>
      <c r="J52" s="14" t="s">
        <v>299</v>
      </c>
      <c r="K52" s="14" t="s">
        <v>300</v>
      </c>
      <c r="L52" s="14" t="s">
        <v>301</v>
      </c>
      <c r="M52" s="14" t="s">
        <v>302</v>
      </c>
      <c r="N52" s="14" t="s">
        <v>303</v>
      </c>
      <c r="O52" s="14" t="s">
        <v>260</v>
      </c>
      <c r="P52" s="14" t="s">
        <v>261</v>
      </c>
      <c r="Q52" s="14" t="s">
        <v>262</v>
      </c>
      <c r="R52" s="14" t="s">
        <v>263</v>
      </c>
      <c r="S52" s="14" t="s">
        <v>164</v>
      </c>
      <c r="T52" s="14" t="s">
        <v>165</v>
      </c>
      <c r="U52" s="14" t="s">
        <v>166</v>
      </c>
      <c r="V52" s="14" t="s">
        <v>167</v>
      </c>
      <c r="W52" s="14" t="s">
        <v>168</v>
      </c>
      <c r="X52" s="14" t="s">
        <v>169</v>
      </c>
      <c r="Y52" s="14" t="s">
        <v>170</v>
      </c>
      <c r="Z52" s="13" t="str">
        <f t="array" ref="Z52">LOOKUP(2,1/(A52:Y52&lt;&gt;""),A52:Y52)</f>
        <v>18/01/2026</v>
      </c>
      <c r="AA52" s="6" t="str">
        <f t="shared" si="0"/>
        <v>ינואר</v>
      </c>
    </row>
    <row r="53" spans="1:27" s="4" customFormat="1" ht="25.1" customHeight="1">
      <c r="A53" s="6" t="s">
        <v>103</v>
      </c>
      <c r="B53" s="6" t="s">
        <v>32</v>
      </c>
      <c r="C53" s="11" t="s">
        <v>134</v>
      </c>
      <c r="D53" s="6" t="s">
        <v>110</v>
      </c>
      <c r="E53" s="6" t="s">
        <v>64</v>
      </c>
      <c r="F53" s="6" t="s">
        <v>111</v>
      </c>
      <c r="G53" s="6" t="s">
        <v>40</v>
      </c>
      <c r="H53" s="9">
        <v>0.33333333333333331</v>
      </c>
      <c r="I53" s="12">
        <v>0.41666666666666669</v>
      </c>
      <c r="J53" s="14" t="s">
        <v>222</v>
      </c>
      <c r="K53" s="14" t="s">
        <v>223</v>
      </c>
      <c r="L53" s="14" t="s">
        <v>224</v>
      </c>
      <c r="M53" s="14" t="s">
        <v>225</v>
      </c>
      <c r="N53" s="14" t="s">
        <v>226</v>
      </c>
      <c r="O53" s="14" t="s">
        <v>227</v>
      </c>
      <c r="P53" s="14" t="s">
        <v>236</v>
      </c>
      <c r="Q53" s="14" t="s">
        <v>237</v>
      </c>
      <c r="R53" s="14" t="s">
        <v>238</v>
      </c>
      <c r="S53" s="14" t="s">
        <v>239</v>
      </c>
      <c r="T53" s="14" t="s">
        <v>240</v>
      </c>
      <c r="U53" s="14"/>
      <c r="V53" s="14"/>
      <c r="W53" s="14"/>
      <c r="X53" s="14"/>
      <c r="Y53" s="14"/>
      <c r="Z53" s="13" t="str">
        <f t="array" ref="Z53">LOOKUP(2,1/(A53:Y53&lt;&gt;""),A53:Y53)</f>
        <v>18/03/2026</v>
      </c>
      <c r="AA53" s="6" t="str">
        <f t="shared" si="0"/>
        <v>מרץ</v>
      </c>
    </row>
    <row r="54" spans="1:27" s="4" customFormat="1" ht="25.1" customHeight="1">
      <c r="A54" s="6" t="s">
        <v>103</v>
      </c>
      <c r="B54" s="6" t="s">
        <v>32</v>
      </c>
      <c r="C54" s="11" t="s">
        <v>134</v>
      </c>
      <c r="D54" s="6" t="s">
        <v>110</v>
      </c>
      <c r="E54" s="6" t="s">
        <v>64</v>
      </c>
      <c r="F54" s="6" t="s">
        <v>111</v>
      </c>
      <c r="G54" s="6" t="s">
        <v>40</v>
      </c>
      <c r="H54" s="9">
        <v>0.41666666666666669</v>
      </c>
      <c r="I54" s="12">
        <v>0.5</v>
      </c>
      <c r="J54" s="14" t="s">
        <v>222</v>
      </c>
      <c r="K54" s="14" t="s">
        <v>223</v>
      </c>
      <c r="L54" s="14" t="s">
        <v>224</v>
      </c>
      <c r="M54" s="14" t="s">
        <v>225</v>
      </c>
      <c r="N54" s="14" t="s">
        <v>226</v>
      </c>
      <c r="O54" s="14" t="s">
        <v>227</v>
      </c>
      <c r="P54" s="14" t="s">
        <v>236</v>
      </c>
      <c r="Q54" s="14" t="s">
        <v>237</v>
      </c>
      <c r="R54" s="14" t="s">
        <v>238</v>
      </c>
      <c r="S54" s="14" t="s">
        <v>239</v>
      </c>
      <c r="T54" s="14" t="s">
        <v>240</v>
      </c>
      <c r="U54" s="14"/>
      <c r="V54" s="14"/>
      <c r="W54" s="14"/>
      <c r="X54" s="14"/>
      <c r="Y54" s="14"/>
      <c r="Z54" s="13" t="str">
        <f t="array" ref="Z54">LOOKUP(2,1/(A54:Y54&lt;&gt;""),A54:Y54)</f>
        <v>18/03/2026</v>
      </c>
      <c r="AA54" s="6" t="str">
        <f t="shared" si="0"/>
        <v>מרץ</v>
      </c>
    </row>
    <row r="55" spans="1:27" s="4" customFormat="1" ht="25.1" customHeight="1">
      <c r="A55" s="6" t="s">
        <v>93</v>
      </c>
      <c r="B55" s="6" t="s">
        <v>138</v>
      </c>
      <c r="C55" s="11" t="s">
        <v>134</v>
      </c>
      <c r="D55" s="6" t="s">
        <v>88</v>
      </c>
      <c r="E55" s="6" t="s">
        <v>64</v>
      </c>
      <c r="F55" s="6" t="s">
        <v>88</v>
      </c>
      <c r="G55" s="6" t="s">
        <v>48</v>
      </c>
      <c r="H55" s="9">
        <v>0.52083333333333337</v>
      </c>
      <c r="I55" s="12">
        <v>0.60416666666666663</v>
      </c>
      <c r="J55" s="14" t="s">
        <v>200</v>
      </c>
      <c r="K55" s="14" t="s">
        <v>201</v>
      </c>
      <c r="L55" s="14" t="s">
        <v>202</v>
      </c>
      <c r="M55" s="14" t="s">
        <v>177</v>
      </c>
      <c r="N55" s="14" t="s">
        <v>178</v>
      </c>
      <c r="O55" s="14" t="s">
        <v>179</v>
      </c>
      <c r="P55" s="14" t="s">
        <v>304</v>
      </c>
      <c r="Q55" s="14" t="s">
        <v>180</v>
      </c>
      <c r="R55" s="14" t="s">
        <v>181</v>
      </c>
      <c r="S55" s="14" t="s">
        <v>182</v>
      </c>
      <c r="T55" s="14" t="s">
        <v>183</v>
      </c>
      <c r="U55" s="14" t="s">
        <v>184</v>
      </c>
      <c r="V55" s="14"/>
      <c r="W55" s="14"/>
      <c r="X55" s="14"/>
      <c r="Y55" s="14"/>
      <c r="Z55" s="13" t="str">
        <f t="array" ref="Z55">LOOKUP(2,1/(A55:Y55&lt;&gt;""),A55:Y55)</f>
        <v>18/05/2026</v>
      </c>
      <c r="AA55" s="6" t="str">
        <f t="shared" si="0"/>
        <v>מאי</v>
      </c>
    </row>
    <row r="56" spans="1:27" s="4" customFormat="1" ht="25.1" customHeight="1">
      <c r="A56" s="6" t="s">
        <v>79</v>
      </c>
      <c r="B56" s="6" t="s">
        <v>138</v>
      </c>
      <c r="C56" s="11" t="s">
        <v>134</v>
      </c>
      <c r="D56" s="6" t="s">
        <v>88</v>
      </c>
      <c r="E56" s="6" t="s">
        <v>64</v>
      </c>
      <c r="F56" s="6" t="s">
        <v>88</v>
      </c>
      <c r="G56" s="6" t="s">
        <v>48</v>
      </c>
      <c r="H56" s="9">
        <v>0.52083333333333337</v>
      </c>
      <c r="I56" s="12">
        <v>0.60416666666666663</v>
      </c>
      <c r="J56" s="14" t="s">
        <v>200</v>
      </c>
      <c r="K56" s="14" t="s">
        <v>201</v>
      </c>
      <c r="L56" s="14" t="s">
        <v>202</v>
      </c>
      <c r="M56" s="14" t="s">
        <v>177</v>
      </c>
      <c r="N56" s="14" t="s">
        <v>178</v>
      </c>
      <c r="O56" s="14" t="s">
        <v>179</v>
      </c>
      <c r="P56" s="14" t="s">
        <v>304</v>
      </c>
      <c r="Q56" s="14" t="s">
        <v>180</v>
      </c>
      <c r="R56" s="14" t="s">
        <v>181</v>
      </c>
      <c r="S56" s="14" t="s">
        <v>182</v>
      </c>
      <c r="T56" s="14" t="s">
        <v>183</v>
      </c>
      <c r="U56" s="14" t="s">
        <v>184</v>
      </c>
      <c r="V56" s="14"/>
      <c r="W56" s="14"/>
      <c r="X56" s="14"/>
      <c r="Y56" s="14"/>
      <c r="Z56" s="13" t="str">
        <f t="array" ref="Z56">LOOKUP(2,1/(A56:Y56&lt;&gt;""),A56:Y56)</f>
        <v>18/05/2026</v>
      </c>
      <c r="AA56" s="6" t="str">
        <f t="shared" si="0"/>
        <v>מאי</v>
      </c>
    </row>
    <row r="57" spans="1:27" s="4" customFormat="1" ht="25.1" customHeight="1">
      <c r="A57" s="6" t="s">
        <v>108</v>
      </c>
      <c r="B57" s="6" t="s">
        <v>41</v>
      </c>
      <c r="C57" s="11" t="s">
        <v>134</v>
      </c>
      <c r="D57" s="6" t="s">
        <v>42</v>
      </c>
      <c r="E57" s="6" t="s">
        <v>34</v>
      </c>
      <c r="F57" s="6" t="s">
        <v>141</v>
      </c>
      <c r="G57" s="6" t="s">
        <v>36</v>
      </c>
      <c r="H57" s="9">
        <v>0.51041666666666663</v>
      </c>
      <c r="I57" s="12">
        <v>0.57291666666666663</v>
      </c>
      <c r="J57" s="14" t="s">
        <v>255</v>
      </c>
      <c r="K57" s="14" t="s">
        <v>256</v>
      </c>
      <c r="L57" s="14" t="s">
        <v>257</v>
      </c>
      <c r="M57" s="14" t="s">
        <v>258</v>
      </c>
      <c r="N57" s="14" t="s">
        <v>259</v>
      </c>
      <c r="O57" s="14" t="s">
        <v>274</v>
      </c>
      <c r="P57" s="14" t="s">
        <v>264</v>
      </c>
      <c r="Q57" s="14" t="s">
        <v>265</v>
      </c>
      <c r="R57" s="14" t="s">
        <v>266</v>
      </c>
      <c r="S57" s="14" t="s">
        <v>267</v>
      </c>
      <c r="T57" s="14" t="s">
        <v>268</v>
      </c>
      <c r="U57" s="8"/>
      <c r="V57" s="8"/>
      <c r="W57" s="8"/>
      <c r="X57" s="14"/>
      <c r="Y57" s="14"/>
      <c r="Z57" s="13" t="str">
        <f t="array" ref="Z57">LOOKUP(2,1/(A57:Y57&lt;&gt;""),A57:Y57)</f>
        <v>19/02/2026</v>
      </c>
      <c r="AA57" s="6" t="str">
        <f t="shared" si="0"/>
        <v>פברואר</v>
      </c>
    </row>
    <row r="58" spans="1:27" s="4" customFormat="1" ht="25.1" customHeight="1">
      <c r="A58" s="6" t="s">
        <v>108</v>
      </c>
      <c r="B58" s="6" t="s">
        <v>41</v>
      </c>
      <c r="C58" s="11" t="s">
        <v>134</v>
      </c>
      <c r="D58" s="6" t="s">
        <v>42</v>
      </c>
      <c r="E58" s="6" t="s">
        <v>34</v>
      </c>
      <c r="F58" s="6" t="s">
        <v>145</v>
      </c>
      <c r="G58" s="6" t="s">
        <v>36</v>
      </c>
      <c r="H58" s="9">
        <v>0.38541666666666669</v>
      </c>
      <c r="I58" s="12">
        <v>0.46875</v>
      </c>
      <c r="J58" s="14" t="s">
        <v>255</v>
      </c>
      <c r="K58" s="14" t="s">
        <v>256</v>
      </c>
      <c r="L58" s="14" t="s">
        <v>257</v>
      </c>
      <c r="M58" s="14" t="s">
        <v>258</v>
      </c>
      <c r="N58" s="14" t="s">
        <v>259</v>
      </c>
      <c r="O58" s="14" t="s">
        <v>274</v>
      </c>
      <c r="P58" s="14" t="s">
        <v>264</v>
      </c>
      <c r="Q58" s="14" t="s">
        <v>265</v>
      </c>
      <c r="R58" s="14" t="s">
        <v>266</v>
      </c>
      <c r="S58" s="14" t="s">
        <v>267</v>
      </c>
      <c r="T58" s="14" t="s">
        <v>268</v>
      </c>
      <c r="U58" s="8"/>
      <c r="V58" s="14"/>
      <c r="W58" s="14"/>
      <c r="X58" s="14"/>
      <c r="Y58" s="14"/>
      <c r="Z58" s="13" t="str">
        <f t="array" ref="Z58">LOOKUP(2,1/(A58:Y58&lt;&gt;""),A58:Y58)</f>
        <v>19/02/2026</v>
      </c>
      <c r="AA58" s="6" t="str">
        <f t="shared" si="0"/>
        <v>פברואר</v>
      </c>
    </row>
    <row r="59" spans="1:27" s="4" customFormat="1" ht="25.1" customHeight="1">
      <c r="A59" s="6" t="s">
        <v>155</v>
      </c>
      <c r="B59" s="6" t="s">
        <v>45</v>
      </c>
      <c r="C59" s="11" t="s">
        <v>134</v>
      </c>
      <c r="D59" s="6" t="s">
        <v>101</v>
      </c>
      <c r="E59" s="6" t="s">
        <v>34</v>
      </c>
      <c r="F59" s="6" t="s">
        <v>137</v>
      </c>
      <c r="G59" s="6" t="s">
        <v>36</v>
      </c>
      <c r="H59" s="9">
        <v>0.42708333333333331</v>
      </c>
      <c r="I59" s="12">
        <v>0.48958333333333331</v>
      </c>
      <c r="J59" s="14" t="s">
        <v>257</v>
      </c>
      <c r="K59" s="14" t="s">
        <v>258</v>
      </c>
      <c r="L59" s="14" t="s">
        <v>259</v>
      </c>
      <c r="M59" s="14" t="s">
        <v>274</v>
      </c>
      <c r="N59" s="14" t="s">
        <v>265</v>
      </c>
      <c r="O59" s="14" t="s">
        <v>266</v>
      </c>
      <c r="P59" s="14" t="s">
        <v>267</v>
      </c>
      <c r="Q59" s="14" t="s">
        <v>268</v>
      </c>
      <c r="R59" s="8"/>
      <c r="S59" s="8"/>
      <c r="T59" s="8"/>
      <c r="U59" s="14"/>
      <c r="V59" s="14"/>
      <c r="W59" s="14"/>
      <c r="X59" s="14"/>
      <c r="Y59" s="14"/>
      <c r="Z59" s="13" t="str">
        <f t="array" ref="Z59">LOOKUP(2,1/(A59:Y59&lt;&gt;""),A59:Y59)</f>
        <v>19/02/2026</v>
      </c>
      <c r="AA59" s="6" t="str">
        <f t="shared" si="0"/>
        <v>פברואר</v>
      </c>
    </row>
    <row r="60" spans="1:27" s="4" customFormat="1" ht="25.1" customHeight="1">
      <c r="A60" s="6" t="s">
        <v>155</v>
      </c>
      <c r="B60" s="6" t="s">
        <v>45</v>
      </c>
      <c r="C60" s="11" t="s">
        <v>134</v>
      </c>
      <c r="D60" s="6" t="s">
        <v>101</v>
      </c>
      <c r="E60" s="6" t="s">
        <v>34</v>
      </c>
      <c r="F60" s="6" t="s">
        <v>137</v>
      </c>
      <c r="G60" s="6" t="s">
        <v>36</v>
      </c>
      <c r="H60" s="9">
        <v>0.33333333333333331</v>
      </c>
      <c r="I60" s="12">
        <v>0.40625</v>
      </c>
      <c r="J60" s="14" t="s">
        <v>257</v>
      </c>
      <c r="K60" s="14" t="s">
        <v>258</v>
      </c>
      <c r="L60" s="14" t="s">
        <v>259</v>
      </c>
      <c r="M60" s="14" t="s">
        <v>274</v>
      </c>
      <c r="N60" s="14" t="s">
        <v>265</v>
      </c>
      <c r="O60" s="14" t="s">
        <v>266</v>
      </c>
      <c r="P60" s="14" t="s">
        <v>267</v>
      </c>
      <c r="Q60" s="14" t="s">
        <v>268</v>
      </c>
      <c r="R60" s="8"/>
      <c r="S60" s="8"/>
      <c r="T60" s="8"/>
      <c r="U60" s="14"/>
      <c r="V60" s="14"/>
      <c r="W60" s="14"/>
      <c r="X60" s="14"/>
      <c r="Y60" s="14"/>
      <c r="Z60" s="13" t="str">
        <f t="array" ref="Z60">LOOKUP(2,1/(A60:Y60&lt;&gt;""),A60:Y60)</f>
        <v>19/02/2026</v>
      </c>
      <c r="AA60" s="6" t="str">
        <f t="shared" si="0"/>
        <v>פברואר</v>
      </c>
    </row>
    <row r="61" spans="1:27" s="4" customFormat="1" ht="25.1" customHeight="1">
      <c r="A61" s="6" t="s">
        <v>161</v>
      </c>
      <c r="B61" s="6" t="s">
        <v>45</v>
      </c>
      <c r="C61" s="11" t="s">
        <v>134</v>
      </c>
      <c r="D61" s="6" t="s">
        <v>156</v>
      </c>
      <c r="E61" s="6" t="s">
        <v>34</v>
      </c>
      <c r="F61" s="6" t="s">
        <v>162</v>
      </c>
      <c r="G61" s="6" t="s">
        <v>36</v>
      </c>
      <c r="H61" s="9">
        <v>0.58333333333333337</v>
      </c>
      <c r="I61" s="12">
        <v>0.65625</v>
      </c>
      <c r="J61" s="14" t="s">
        <v>257</v>
      </c>
      <c r="K61" s="14" t="s">
        <v>259</v>
      </c>
      <c r="L61" s="14" t="s">
        <v>274</v>
      </c>
      <c r="M61" s="14" t="s">
        <v>264</v>
      </c>
      <c r="N61" s="14" t="s">
        <v>265</v>
      </c>
      <c r="O61" s="14" t="s">
        <v>266</v>
      </c>
      <c r="P61" s="14" t="s">
        <v>267</v>
      </c>
      <c r="Q61" s="14" t="s">
        <v>268</v>
      </c>
      <c r="R61" s="8"/>
      <c r="S61" s="8"/>
      <c r="T61" s="8"/>
      <c r="U61" s="14"/>
      <c r="V61" s="14"/>
      <c r="W61" s="14"/>
      <c r="X61" s="14"/>
      <c r="Y61" s="14"/>
      <c r="Z61" s="13" t="str">
        <f t="array" ref="Z61">LOOKUP(2,1/(A61:Y61&lt;&gt;""),A61:Y61)</f>
        <v>19/02/2026</v>
      </c>
      <c r="AA61" s="6" t="str">
        <f t="shared" si="0"/>
        <v>פברואר</v>
      </c>
    </row>
    <row r="62" spans="1:27" s="4" customFormat="1" ht="25.1" customHeight="1">
      <c r="A62" s="6" t="s">
        <v>120</v>
      </c>
      <c r="B62" s="6" t="s">
        <v>51</v>
      </c>
      <c r="C62" s="11" t="s">
        <v>134</v>
      </c>
      <c r="D62" s="6" t="s">
        <v>121</v>
      </c>
      <c r="E62" s="6" t="s">
        <v>34</v>
      </c>
      <c r="F62" s="6" t="s">
        <v>121</v>
      </c>
      <c r="G62" s="6" t="s">
        <v>36</v>
      </c>
      <c r="H62" s="9">
        <v>0.33333333333333331</v>
      </c>
      <c r="I62" s="12">
        <v>0.39583333333333331</v>
      </c>
      <c r="J62" s="14" t="s">
        <v>266</v>
      </c>
      <c r="K62" s="14" t="s">
        <v>267</v>
      </c>
      <c r="L62" s="14" t="s">
        <v>268</v>
      </c>
      <c r="M62" s="14" t="s">
        <v>269</v>
      </c>
      <c r="N62" s="14" t="s">
        <v>270</v>
      </c>
      <c r="O62" s="14" t="s">
        <v>271</v>
      </c>
      <c r="P62" s="14" t="s">
        <v>272</v>
      </c>
      <c r="Q62" s="8"/>
      <c r="R62" s="8"/>
      <c r="S62" s="8"/>
      <c r="T62" s="14"/>
      <c r="U62" s="14"/>
      <c r="V62" s="14"/>
      <c r="W62" s="14"/>
      <c r="X62" s="14"/>
      <c r="Y62" s="14"/>
      <c r="Z62" s="13" t="str">
        <f t="array" ref="Z62">LOOKUP(2,1/(A62:Y62&lt;&gt;""),A62:Y62)</f>
        <v>19/03/2026</v>
      </c>
      <c r="AA62" s="6" t="str">
        <f t="shared" si="0"/>
        <v>מרץ</v>
      </c>
    </row>
    <row r="63" spans="1:27" s="4" customFormat="1" ht="25.1" customHeight="1">
      <c r="A63" s="6" t="s">
        <v>124</v>
      </c>
      <c r="B63" s="6" t="s">
        <v>32</v>
      </c>
      <c r="C63" s="11" t="s">
        <v>134</v>
      </c>
      <c r="D63" s="6" t="s">
        <v>125</v>
      </c>
      <c r="E63" s="6" t="s">
        <v>34</v>
      </c>
      <c r="F63" s="6" t="s">
        <v>150</v>
      </c>
      <c r="G63" s="6" t="s">
        <v>43</v>
      </c>
      <c r="H63" s="9">
        <v>0.55208333333333337</v>
      </c>
      <c r="I63" s="12">
        <v>0.61458333333333337</v>
      </c>
      <c r="J63" s="14" t="s">
        <v>228</v>
      </c>
      <c r="K63" s="14" t="s">
        <v>229</v>
      </c>
      <c r="L63" s="14" t="s">
        <v>230</v>
      </c>
      <c r="M63" s="14" t="s">
        <v>231</v>
      </c>
      <c r="N63" s="14" t="s">
        <v>232</v>
      </c>
      <c r="O63" s="14" t="s">
        <v>233</v>
      </c>
      <c r="P63" s="14" t="s">
        <v>234</v>
      </c>
      <c r="Q63" s="14" t="s">
        <v>235</v>
      </c>
      <c r="R63" s="14" t="s">
        <v>305</v>
      </c>
      <c r="S63" s="14" t="s">
        <v>306</v>
      </c>
      <c r="T63" s="8"/>
      <c r="U63" s="14"/>
      <c r="V63" s="14"/>
      <c r="W63" s="14"/>
      <c r="X63" s="14"/>
      <c r="Y63" s="14"/>
      <c r="Z63" s="13" t="str">
        <f t="array" ref="Z63">LOOKUP(2,1/(A63:Y63&lt;&gt;""),A63:Y63)</f>
        <v>19/05/2026</v>
      </c>
      <c r="AA63" s="6" t="str">
        <f t="shared" si="0"/>
        <v>מאי</v>
      </c>
    </row>
    <row r="64" spans="1:27" s="4" customFormat="1" ht="25.1" customHeight="1">
      <c r="A64" s="6" t="s">
        <v>155</v>
      </c>
      <c r="B64" s="6" t="s">
        <v>32</v>
      </c>
      <c r="C64" s="11" t="s">
        <v>134</v>
      </c>
      <c r="D64" s="6" t="s">
        <v>101</v>
      </c>
      <c r="E64" s="6" t="s">
        <v>34</v>
      </c>
      <c r="F64" s="6" t="s">
        <v>102</v>
      </c>
      <c r="G64" s="6" t="s">
        <v>43</v>
      </c>
      <c r="H64" s="9">
        <v>0.33333333333333331</v>
      </c>
      <c r="I64" s="12">
        <v>0.41666666666666669</v>
      </c>
      <c r="J64" s="14" t="s">
        <v>307</v>
      </c>
      <c r="K64" s="14" t="s">
        <v>215</v>
      </c>
      <c r="L64" s="14" t="s">
        <v>204</v>
      </c>
      <c r="M64" s="14" t="s">
        <v>206</v>
      </c>
      <c r="N64" s="14" t="s">
        <v>209</v>
      </c>
      <c r="O64" s="14" t="s">
        <v>212</v>
      </c>
      <c r="P64" s="14" t="s">
        <v>230</v>
      </c>
      <c r="Q64" s="14" t="s">
        <v>232</v>
      </c>
      <c r="R64" s="14" t="s">
        <v>234</v>
      </c>
      <c r="S64" s="14" t="s">
        <v>306</v>
      </c>
      <c r="T64" s="8"/>
      <c r="U64" s="14"/>
      <c r="V64" s="14"/>
      <c r="W64" s="14"/>
      <c r="X64" s="14"/>
      <c r="Y64" s="14"/>
      <c r="Z64" s="13" t="str">
        <f t="array" ref="Z64">LOOKUP(2,1/(A64:Y64&lt;&gt;""),A64:Y64)</f>
        <v>19/05/2026</v>
      </c>
      <c r="AA64" s="6" t="str">
        <f t="shared" si="0"/>
        <v>מאי</v>
      </c>
    </row>
    <row r="65" spans="1:27" s="4" customFormat="1" ht="25.1" customHeight="1">
      <c r="A65" s="6" t="s">
        <v>155</v>
      </c>
      <c r="B65" s="6" t="s">
        <v>32</v>
      </c>
      <c r="C65" s="11" t="s">
        <v>134</v>
      </c>
      <c r="D65" s="6" t="s">
        <v>101</v>
      </c>
      <c r="E65" s="6" t="s">
        <v>34</v>
      </c>
      <c r="F65" s="6" t="s">
        <v>102</v>
      </c>
      <c r="G65" s="6" t="s">
        <v>43</v>
      </c>
      <c r="H65" s="9">
        <v>0.41666666666666669</v>
      </c>
      <c r="I65" s="12">
        <v>0.5</v>
      </c>
      <c r="J65" s="14" t="s">
        <v>307</v>
      </c>
      <c r="K65" s="14" t="s">
        <v>215</v>
      </c>
      <c r="L65" s="14" t="s">
        <v>204</v>
      </c>
      <c r="M65" s="14" t="s">
        <v>206</v>
      </c>
      <c r="N65" s="14" t="s">
        <v>209</v>
      </c>
      <c r="O65" s="14" t="s">
        <v>212</v>
      </c>
      <c r="P65" s="14" t="s">
        <v>230</v>
      </c>
      <c r="Q65" s="14" t="s">
        <v>232</v>
      </c>
      <c r="R65" s="14" t="s">
        <v>234</v>
      </c>
      <c r="S65" s="14" t="s">
        <v>306</v>
      </c>
      <c r="T65" s="8"/>
      <c r="U65" s="14"/>
      <c r="V65" s="14"/>
      <c r="W65" s="14"/>
      <c r="X65" s="14"/>
      <c r="Y65" s="14"/>
      <c r="Z65" s="13" t="str">
        <f t="array" ref="Z65">LOOKUP(2,1/(A65:Y65&lt;&gt;""),A65:Y65)</f>
        <v>19/05/2026</v>
      </c>
      <c r="AA65" s="6" t="str">
        <f t="shared" si="0"/>
        <v>מאי</v>
      </c>
    </row>
    <row r="66" spans="1:27" s="4" customFormat="1" ht="25.1" customHeight="1">
      <c r="A66" s="6"/>
      <c r="B66" s="6" t="s">
        <v>41</v>
      </c>
      <c r="C66" s="11" t="s">
        <v>134</v>
      </c>
      <c r="D66" s="6" t="s">
        <v>54</v>
      </c>
      <c r="E66" s="6" t="s">
        <v>34</v>
      </c>
      <c r="F66" s="6" t="s">
        <v>55</v>
      </c>
      <c r="G66" s="6" t="s">
        <v>40</v>
      </c>
      <c r="H66" s="9">
        <v>0.4201388888888889</v>
      </c>
      <c r="I66" s="12">
        <v>0.47916666666666669</v>
      </c>
      <c r="J66" s="14" t="s">
        <v>236</v>
      </c>
      <c r="K66" s="14" t="s">
        <v>237</v>
      </c>
      <c r="L66" s="14" t="s">
        <v>238</v>
      </c>
      <c r="M66" s="14" t="s">
        <v>239</v>
      </c>
      <c r="N66" s="14" t="s">
        <v>240</v>
      </c>
      <c r="O66" s="14" t="s">
        <v>241</v>
      </c>
      <c r="P66" s="14" t="s">
        <v>242</v>
      </c>
      <c r="Q66" s="14" t="s">
        <v>243</v>
      </c>
      <c r="R66" s="14" t="s">
        <v>293</v>
      </c>
      <c r="S66" s="14" t="s">
        <v>294</v>
      </c>
      <c r="T66" s="14"/>
      <c r="U66" s="14"/>
      <c r="V66" s="14"/>
      <c r="W66" s="14"/>
      <c r="X66" s="14"/>
      <c r="Y66" s="14"/>
      <c r="Z66" s="13" t="str">
        <f t="array" ref="Z66">LOOKUP(2,1/(A66:Y66&lt;&gt;""),A66:Y66)</f>
        <v>20/05/2026</v>
      </c>
      <c r="AA66" s="6" t="str">
        <f t="shared" ref="AA66:AA90" si="1">TEXT(Z66,"[$-he-IL]mmmm")</f>
        <v>מאי</v>
      </c>
    </row>
    <row r="67" spans="1:27" s="4" customFormat="1" ht="25.1" customHeight="1">
      <c r="A67" s="6"/>
      <c r="B67" s="6" t="s">
        <v>56</v>
      </c>
      <c r="C67" s="11" t="s">
        <v>134</v>
      </c>
      <c r="D67" s="6" t="s">
        <v>54</v>
      </c>
      <c r="E67" s="6" t="s">
        <v>34</v>
      </c>
      <c r="F67" s="6" t="s">
        <v>55</v>
      </c>
      <c r="G67" s="6" t="s">
        <v>40</v>
      </c>
      <c r="H67" s="9">
        <v>0.34375</v>
      </c>
      <c r="I67" s="9">
        <v>0.40277777777777779</v>
      </c>
      <c r="J67" s="14" t="s">
        <v>236</v>
      </c>
      <c r="K67" s="14" t="s">
        <v>237</v>
      </c>
      <c r="L67" s="14" t="s">
        <v>238</v>
      </c>
      <c r="M67" s="14" t="s">
        <v>239</v>
      </c>
      <c r="N67" s="14" t="s">
        <v>240</v>
      </c>
      <c r="O67" s="14" t="s">
        <v>241</v>
      </c>
      <c r="P67" s="14" t="s">
        <v>242</v>
      </c>
      <c r="Q67" s="14" t="s">
        <v>243</v>
      </c>
      <c r="R67" s="14" t="s">
        <v>293</v>
      </c>
      <c r="S67" s="14" t="s">
        <v>294</v>
      </c>
      <c r="T67" s="14"/>
      <c r="U67" s="14"/>
      <c r="V67" s="14"/>
      <c r="W67" s="14"/>
      <c r="X67" s="14"/>
      <c r="Y67" s="14"/>
      <c r="Z67" s="13" t="str">
        <f t="array" ref="Z67">LOOKUP(2,1/(A67:Y67&lt;&gt;""),A67:Y67)</f>
        <v>20/05/2026</v>
      </c>
      <c r="AA67" s="6" t="str">
        <f t="shared" si="1"/>
        <v>מאי</v>
      </c>
    </row>
    <row r="68" spans="1:27" s="4" customFormat="1" ht="25.1" customHeight="1">
      <c r="A68" s="6" t="s">
        <v>155</v>
      </c>
      <c r="B68" s="6" t="s">
        <v>32</v>
      </c>
      <c r="C68" s="11" t="s">
        <v>134</v>
      </c>
      <c r="D68" s="6" t="s">
        <v>101</v>
      </c>
      <c r="E68" s="6" t="s">
        <v>34</v>
      </c>
      <c r="F68" s="6" t="s">
        <v>102</v>
      </c>
      <c r="G68" s="6" t="s">
        <v>40</v>
      </c>
      <c r="H68" s="9">
        <v>0.33333333333333331</v>
      </c>
      <c r="I68" s="9">
        <v>0.41666666666666669</v>
      </c>
      <c r="J68" s="14" t="s">
        <v>308</v>
      </c>
      <c r="K68" s="14" t="s">
        <v>278</v>
      </c>
      <c r="L68" s="14" t="s">
        <v>219</v>
      </c>
      <c r="M68" s="14" t="s">
        <v>221</v>
      </c>
      <c r="N68" s="14" t="s">
        <v>224</v>
      </c>
      <c r="O68" s="14" t="s">
        <v>227</v>
      </c>
      <c r="P68" s="14" t="s">
        <v>238</v>
      </c>
      <c r="Q68" s="14" t="s">
        <v>240</v>
      </c>
      <c r="R68" s="14" t="s">
        <v>242</v>
      </c>
      <c r="S68" s="14" t="s">
        <v>294</v>
      </c>
      <c r="T68" s="8"/>
      <c r="U68" s="14"/>
      <c r="V68" s="14"/>
      <c r="W68" s="14"/>
      <c r="X68" s="14"/>
      <c r="Y68" s="14"/>
      <c r="Z68" s="13" t="str">
        <f t="array" ref="Z68">LOOKUP(2,1/(A68:Y68&lt;&gt;""),A68:Y68)</f>
        <v>20/05/2026</v>
      </c>
      <c r="AA68" s="6" t="str">
        <f t="shared" si="1"/>
        <v>מאי</v>
      </c>
    </row>
    <row r="69" spans="1:27" s="4" customFormat="1" ht="25.1" customHeight="1">
      <c r="A69" s="6" t="s">
        <v>155</v>
      </c>
      <c r="B69" s="6" t="s">
        <v>32</v>
      </c>
      <c r="C69" s="11" t="s">
        <v>134</v>
      </c>
      <c r="D69" s="6" t="s">
        <v>101</v>
      </c>
      <c r="E69" s="6" t="s">
        <v>34</v>
      </c>
      <c r="F69" s="6" t="s">
        <v>102</v>
      </c>
      <c r="G69" s="6" t="s">
        <v>40</v>
      </c>
      <c r="H69" s="9">
        <v>0.41666666666666669</v>
      </c>
      <c r="I69" s="9">
        <v>0.5</v>
      </c>
      <c r="J69" s="14" t="s">
        <v>308</v>
      </c>
      <c r="K69" s="14" t="s">
        <v>278</v>
      </c>
      <c r="L69" s="14" t="s">
        <v>219</v>
      </c>
      <c r="M69" s="14" t="s">
        <v>221</v>
      </c>
      <c r="N69" s="14" t="s">
        <v>224</v>
      </c>
      <c r="O69" s="14" t="s">
        <v>227</v>
      </c>
      <c r="P69" s="14" t="s">
        <v>238</v>
      </c>
      <c r="Q69" s="14" t="s">
        <v>240</v>
      </c>
      <c r="R69" s="14" t="s">
        <v>242</v>
      </c>
      <c r="S69" s="14" t="s">
        <v>294</v>
      </c>
      <c r="T69" s="8"/>
      <c r="U69" s="14"/>
      <c r="V69" s="14"/>
      <c r="W69" s="14"/>
      <c r="X69" s="14"/>
      <c r="Y69" s="14"/>
      <c r="Z69" s="13" t="str">
        <f t="array" ref="Z69">LOOKUP(2,1/(A69:Y69&lt;&gt;""),A69:Y69)</f>
        <v>20/05/2026</v>
      </c>
      <c r="AA69" s="6" t="str">
        <f t="shared" si="1"/>
        <v>מאי</v>
      </c>
    </row>
    <row r="70" spans="1:27" s="4" customFormat="1" ht="25.1" customHeight="1">
      <c r="A70" s="6" t="s">
        <v>74</v>
      </c>
      <c r="B70" s="6" t="s">
        <v>45</v>
      </c>
      <c r="C70" s="11" t="s">
        <v>134</v>
      </c>
      <c r="D70" s="6" t="s">
        <v>71</v>
      </c>
      <c r="E70" s="6" t="s">
        <v>64</v>
      </c>
      <c r="F70" s="6" t="s">
        <v>75</v>
      </c>
      <c r="G70" s="6" t="s">
        <v>66</v>
      </c>
      <c r="H70" s="9">
        <v>0.33333333333333331</v>
      </c>
      <c r="I70" s="9">
        <v>0.40277777777777779</v>
      </c>
      <c r="J70" s="14" t="s">
        <v>168</v>
      </c>
      <c r="K70" s="14" t="s">
        <v>169</v>
      </c>
      <c r="L70" s="14" t="s">
        <v>170</v>
      </c>
      <c r="M70" s="14" t="s">
        <v>171</v>
      </c>
      <c r="N70" s="14" t="s">
        <v>172</v>
      </c>
      <c r="O70" s="14" t="s">
        <v>173</v>
      </c>
      <c r="P70" s="14" t="s">
        <v>174</v>
      </c>
      <c r="Q70" s="14" t="s">
        <v>175</v>
      </c>
      <c r="R70" s="8"/>
      <c r="S70" s="8"/>
      <c r="T70" s="8"/>
      <c r="U70" s="8"/>
      <c r="V70" s="8"/>
      <c r="W70" s="8"/>
      <c r="X70" s="14"/>
      <c r="Y70" s="14"/>
      <c r="Z70" s="13" t="str">
        <f t="array" ref="Z70">LOOKUP(2,1/(A70:Y70&lt;&gt;""),A70:Y70)</f>
        <v>22/02/2026</v>
      </c>
      <c r="AA70" s="6" t="str">
        <f t="shared" si="1"/>
        <v>פברואר</v>
      </c>
    </row>
    <row r="71" spans="1:27" s="4" customFormat="1" ht="25.1" customHeight="1">
      <c r="A71" s="6" t="s">
        <v>74</v>
      </c>
      <c r="B71" s="6" t="s">
        <v>45</v>
      </c>
      <c r="C71" s="11" t="s">
        <v>134</v>
      </c>
      <c r="D71" s="6" t="s">
        <v>71</v>
      </c>
      <c r="E71" s="6" t="s">
        <v>64</v>
      </c>
      <c r="F71" s="6" t="s">
        <v>75</v>
      </c>
      <c r="G71" s="6" t="s">
        <v>66</v>
      </c>
      <c r="H71" s="9">
        <v>0.42708333333333331</v>
      </c>
      <c r="I71" s="9">
        <v>0.5</v>
      </c>
      <c r="J71" s="14" t="s">
        <v>168</v>
      </c>
      <c r="K71" s="14" t="s">
        <v>169</v>
      </c>
      <c r="L71" s="14" t="s">
        <v>170</v>
      </c>
      <c r="M71" s="14" t="s">
        <v>171</v>
      </c>
      <c r="N71" s="14" t="s">
        <v>172</v>
      </c>
      <c r="O71" s="14" t="s">
        <v>173</v>
      </c>
      <c r="P71" s="14" t="s">
        <v>174</v>
      </c>
      <c r="Q71" s="14" t="s">
        <v>175</v>
      </c>
      <c r="R71" s="8"/>
      <c r="S71" s="8"/>
      <c r="T71" s="8"/>
      <c r="U71" s="14"/>
      <c r="V71" s="14"/>
      <c r="W71" s="14"/>
      <c r="X71" s="14"/>
      <c r="Y71" s="14"/>
      <c r="Z71" s="13" t="str">
        <f t="array" ref="Z71">LOOKUP(2,1/(A71:Y71&lt;&gt;""),A71:Y71)</f>
        <v>22/02/2026</v>
      </c>
      <c r="AA71" s="6" t="str">
        <f t="shared" si="1"/>
        <v>פברואר</v>
      </c>
    </row>
    <row r="72" spans="1:27" s="4" customFormat="1" ht="25.1" customHeight="1">
      <c r="A72" s="6" t="s">
        <v>31</v>
      </c>
      <c r="B72" s="6" t="s">
        <v>51</v>
      </c>
      <c r="C72" s="11" t="s">
        <v>134</v>
      </c>
      <c r="D72" s="6" t="s">
        <v>117</v>
      </c>
      <c r="E72" s="6" t="s">
        <v>34</v>
      </c>
      <c r="F72" s="6" t="s">
        <v>139</v>
      </c>
      <c r="G72" s="6" t="s">
        <v>66</v>
      </c>
      <c r="H72" s="9">
        <v>0.58333333333333337</v>
      </c>
      <c r="I72" s="9">
        <v>0.64583333333333337</v>
      </c>
      <c r="J72" s="14" t="s">
        <v>173</v>
      </c>
      <c r="K72" s="14" t="s">
        <v>174</v>
      </c>
      <c r="L72" s="14" t="s">
        <v>175</v>
      </c>
      <c r="M72" s="14" t="s">
        <v>176</v>
      </c>
      <c r="N72" s="14" t="s">
        <v>309</v>
      </c>
      <c r="O72" s="14" t="s">
        <v>310</v>
      </c>
      <c r="P72" s="14" t="s">
        <v>311</v>
      </c>
      <c r="Q72" s="8"/>
      <c r="R72" s="8"/>
      <c r="S72" s="8"/>
      <c r="T72" s="14"/>
      <c r="U72" s="14"/>
      <c r="V72" s="14"/>
      <c r="W72" s="14"/>
      <c r="X72" s="14"/>
      <c r="Y72" s="14"/>
      <c r="Z72" s="13" t="str">
        <f t="array" ref="Z72">LOOKUP(2,1/(A72:Y72&lt;&gt;""),A72:Y72)</f>
        <v>22/03/2026</v>
      </c>
      <c r="AA72" s="6" t="str">
        <f t="shared" si="1"/>
        <v>מרץ</v>
      </c>
    </row>
    <row r="73" spans="1:27" s="4" customFormat="1" ht="25.1" customHeight="1">
      <c r="A73" s="6" t="s">
        <v>31</v>
      </c>
      <c r="B73" s="6" t="s">
        <v>51</v>
      </c>
      <c r="C73" s="11" t="s">
        <v>134</v>
      </c>
      <c r="D73" s="6" t="s">
        <v>116</v>
      </c>
      <c r="E73" s="6" t="s">
        <v>34</v>
      </c>
      <c r="F73" s="6" t="s">
        <v>116</v>
      </c>
      <c r="G73" s="6" t="s">
        <v>66</v>
      </c>
      <c r="H73" s="9">
        <v>0.33333333333333331</v>
      </c>
      <c r="I73" s="9">
        <v>0.39583333333333331</v>
      </c>
      <c r="J73" s="14" t="s">
        <v>173</v>
      </c>
      <c r="K73" s="14" t="s">
        <v>174</v>
      </c>
      <c r="L73" s="14" t="s">
        <v>175</v>
      </c>
      <c r="M73" s="14" t="s">
        <v>176</v>
      </c>
      <c r="N73" s="14" t="s">
        <v>309</v>
      </c>
      <c r="O73" s="14" t="s">
        <v>310</v>
      </c>
      <c r="P73" s="14" t="s">
        <v>311</v>
      </c>
      <c r="Q73" s="8"/>
      <c r="R73" s="8"/>
      <c r="S73" s="8"/>
      <c r="T73" s="14"/>
      <c r="U73" s="14"/>
      <c r="V73" s="14"/>
      <c r="W73" s="14"/>
      <c r="X73" s="14"/>
      <c r="Y73" s="14"/>
      <c r="Z73" s="13" t="str">
        <f t="array" ref="Z73">LOOKUP(2,1/(A73:Y73&lt;&gt;""),A73:Y73)</f>
        <v>22/03/2026</v>
      </c>
      <c r="AA73" s="6" t="str">
        <f t="shared" si="1"/>
        <v>מרץ</v>
      </c>
    </row>
    <row r="74" spans="1:27" s="4" customFormat="1" ht="25.1" customHeight="1">
      <c r="A74" s="6" t="s">
        <v>62</v>
      </c>
      <c r="B74" s="6" t="s">
        <v>32</v>
      </c>
      <c r="C74" s="11" t="s">
        <v>134</v>
      </c>
      <c r="D74" s="6" t="s">
        <v>63</v>
      </c>
      <c r="E74" s="6" t="s">
        <v>64</v>
      </c>
      <c r="F74" s="6" t="s">
        <v>65</v>
      </c>
      <c r="G74" s="6" t="s">
        <v>66</v>
      </c>
      <c r="H74" s="9">
        <v>0.42708333333333331</v>
      </c>
      <c r="I74" s="9">
        <v>0.49305555555555558</v>
      </c>
      <c r="J74" s="14" t="s">
        <v>170</v>
      </c>
      <c r="K74" s="14" t="s">
        <v>171</v>
      </c>
      <c r="L74" s="14" t="s">
        <v>172</v>
      </c>
      <c r="M74" s="14" t="s">
        <v>173</v>
      </c>
      <c r="N74" s="14" t="s">
        <v>174</v>
      </c>
      <c r="O74" s="14" t="s">
        <v>175</v>
      </c>
      <c r="P74" s="14" t="s">
        <v>176</v>
      </c>
      <c r="Q74" s="14" t="s">
        <v>309</v>
      </c>
      <c r="R74" s="14" t="s">
        <v>310</v>
      </c>
      <c r="S74" s="14" t="s">
        <v>311</v>
      </c>
      <c r="T74" s="8"/>
      <c r="U74" s="14"/>
      <c r="V74" s="14"/>
      <c r="W74" s="14"/>
      <c r="X74" s="14"/>
      <c r="Y74" s="14"/>
      <c r="Z74" s="13" t="str">
        <f t="array" ref="Z74">LOOKUP(2,1/(A74:Y74&lt;&gt;""),A74:Y74)</f>
        <v>22/03/2026</v>
      </c>
      <c r="AA74" s="6" t="str">
        <f t="shared" si="1"/>
        <v>מרץ</v>
      </c>
    </row>
    <row r="75" spans="1:27" s="4" customFormat="1" ht="25.1" customHeight="1">
      <c r="A75" s="6" t="s">
        <v>93</v>
      </c>
      <c r="B75" s="6" t="s">
        <v>51</v>
      </c>
      <c r="C75" s="11" t="s">
        <v>134</v>
      </c>
      <c r="D75" s="6" t="s">
        <v>122</v>
      </c>
      <c r="E75" s="6" t="s">
        <v>34</v>
      </c>
      <c r="F75" s="6" t="s">
        <v>123</v>
      </c>
      <c r="G75" s="6" t="s">
        <v>66</v>
      </c>
      <c r="H75" s="9">
        <v>0.5</v>
      </c>
      <c r="I75" s="9">
        <v>0.5625</v>
      </c>
      <c r="J75" s="14" t="s">
        <v>173</v>
      </c>
      <c r="K75" s="14" t="s">
        <v>174</v>
      </c>
      <c r="L75" s="14" t="s">
        <v>175</v>
      </c>
      <c r="M75" s="14" t="s">
        <v>176</v>
      </c>
      <c r="N75" s="14" t="s">
        <v>309</v>
      </c>
      <c r="O75" s="14" t="s">
        <v>310</v>
      </c>
      <c r="P75" s="14" t="s">
        <v>311</v>
      </c>
      <c r="Q75" s="8"/>
      <c r="R75" s="8"/>
      <c r="S75" s="8"/>
      <c r="T75" s="8"/>
      <c r="U75" s="14"/>
      <c r="V75" s="14"/>
      <c r="W75" s="14"/>
      <c r="X75" s="14"/>
      <c r="Y75" s="14"/>
      <c r="Z75" s="13" t="str">
        <f t="array" ref="Z75">LOOKUP(2,1/(A75:Y75&lt;&gt;""),A75:Y75)</f>
        <v>22/03/2026</v>
      </c>
      <c r="AA75" s="6" t="str">
        <f t="shared" si="1"/>
        <v>מרץ</v>
      </c>
    </row>
    <row r="76" spans="1:27" s="4" customFormat="1" ht="25.1" customHeight="1">
      <c r="A76" s="6" t="s">
        <v>67</v>
      </c>
      <c r="B76" s="6" t="s">
        <v>76</v>
      </c>
      <c r="C76" s="11" t="s">
        <v>134</v>
      </c>
      <c r="D76" s="6" t="s">
        <v>77</v>
      </c>
      <c r="E76" s="6" t="s">
        <v>64</v>
      </c>
      <c r="F76" s="6" t="s">
        <v>78</v>
      </c>
      <c r="G76" s="6" t="s">
        <v>48</v>
      </c>
      <c r="H76" s="9">
        <v>0.34375</v>
      </c>
      <c r="I76" s="9">
        <v>0.40625</v>
      </c>
      <c r="J76" s="14" t="s">
        <v>194</v>
      </c>
      <c r="K76" s="14" t="s">
        <v>195</v>
      </c>
      <c r="L76" s="14" t="s">
        <v>196</v>
      </c>
      <c r="M76" s="14" t="s">
        <v>197</v>
      </c>
      <c r="N76" s="14" t="s">
        <v>198</v>
      </c>
      <c r="O76" s="14" t="s">
        <v>199</v>
      </c>
      <c r="P76" s="14" t="s">
        <v>200</v>
      </c>
      <c r="Q76" s="14" t="s">
        <v>201</v>
      </c>
      <c r="R76" s="14" t="s">
        <v>202</v>
      </c>
      <c r="S76" s="14" t="s">
        <v>177</v>
      </c>
      <c r="T76" s="14" t="s">
        <v>178</v>
      </c>
      <c r="U76" s="14" t="s">
        <v>179</v>
      </c>
      <c r="V76" s="14"/>
      <c r="W76" s="14"/>
      <c r="X76" s="14"/>
      <c r="Y76" s="14"/>
      <c r="Z76" s="13" t="str">
        <f t="array" ref="Z76">LOOKUP(2,1/(A76:Y76&lt;&gt;""),A76:Y76)</f>
        <v>23/03/2026</v>
      </c>
      <c r="AA76" s="6" t="str">
        <f t="shared" si="1"/>
        <v>מרץ</v>
      </c>
    </row>
    <row r="77" spans="1:27" s="4" customFormat="1" ht="25.1" customHeight="1">
      <c r="A77" s="6" t="s">
        <v>93</v>
      </c>
      <c r="B77" s="6" t="s">
        <v>51</v>
      </c>
      <c r="C77" s="11" t="s">
        <v>134</v>
      </c>
      <c r="D77" s="6" t="s">
        <v>112</v>
      </c>
      <c r="E77" s="6" t="s">
        <v>34</v>
      </c>
      <c r="F77" s="6" t="s">
        <v>113</v>
      </c>
      <c r="G77" s="6" t="s">
        <v>36</v>
      </c>
      <c r="H77" s="9">
        <v>0.41666666666666669</v>
      </c>
      <c r="I77" s="9">
        <v>0.47916666666666669</v>
      </c>
      <c r="J77" s="14" t="s">
        <v>269</v>
      </c>
      <c r="K77" s="14" t="s">
        <v>270</v>
      </c>
      <c r="L77" s="14" t="s">
        <v>271</v>
      </c>
      <c r="M77" s="14" t="s">
        <v>272</v>
      </c>
      <c r="N77" s="14" t="s">
        <v>273</v>
      </c>
      <c r="O77" s="14" t="s">
        <v>312</v>
      </c>
      <c r="P77" s="14" t="s">
        <v>313</v>
      </c>
      <c r="Q77" s="8"/>
      <c r="R77" s="8"/>
      <c r="S77" s="8"/>
      <c r="T77" s="14"/>
      <c r="U77" s="14"/>
      <c r="V77" s="14"/>
      <c r="W77" s="14"/>
      <c r="X77" s="14"/>
      <c r="Y77" s="14"/>
      <c r="Z77" s="13" t="str">
        <f t="array" ref="Z77">LOOKUP(2,1/(A77:Y77&lt;&gt;""),A77:Y77)</f>
        <v>23/04/2026</v>
      </c>
      <c r="AA77" s="6" t="str">
        <f t="shared" si="1"/>
        <v>אפריל</v>
      </c>
    </row>
    <row r="78" spans="1:27" s="4" customFormat="1" ht="25.1" customHeight="1">
      <c r="A78" s="6" t="s">
        <v>93</v>
      </c>
      <c r="B78" s="6" t="s">
        <v>51</v>
      </c>
      <c r="C78" s="11" t="s">
        <v>134</v>
      </c>
      <c r="D78" s="6" t="s">
        <v>112</v>
      </c>
      <c r="E78" s="6" t="s">
        <v>34</v>
      </c>
      <c r="F78" s="6" t="s">
        <v>115</v>
      </c>
      <c r="G78" s="6" t="s">
        <v>36</v>
      </c>
      <c r="H78" s="9">
        <v>0.33333333333333331</v>
      </c>
      <c r="I78" s="9">
        <v>0.39583333333333331</v>
      </c>
      <c r="J78" s="14" t="s">
        <v>269</v>
      </c>
      <c r="K78" s="14" t="s">
        <v>270</v>
      </c>
      <c r="L78" s="14" t="s">
        <v>271</v>
      </c>
      <c r="M78" s="14" t="s">
        <v>272</v>
      </c>
      <c r="N78" s="14" t="s">
        <v>273</v>
      </c>
      <c r="O78" s="14" t="s">
        <v>312</v>
      </c>
      <c r="P78" s="14" t="s">
        <v>313</v>
      </c>
      <c r="Q78" s="8"/>
      <c r="R78" s="8"/>
      <c r="S78" s="8"/>
      <c r="T78" s="14"/>
      <c r="U78" s="14"/>
      <c r="V78" s="14"/>
      <c r="W78" s="14"/>
      <c r="X78" s="14"/>
      <c r="Y78" s="14"/>
      <c r="Z78" s="13" t="str">
        <f t="array" ref="Z78">LOOKUP(2,1/(A78:Y78&lt;&gt;""),A78:Y78)</f>
        <v>23/04/2026</v>
      </c>
      <c r="AA78" s="6" t="str">
        <f t="shared" si="1"/>
        <v>אפריל</v>
      </c>
    </row>
    <row r="79" spans="1:27" s="4" customFormat="1" ht="25.1" customHeight="1">
      <c r="A79" s="6" t="s">
        <v>93</v>
      </c>
      <c r="B79" s="6" t="s">
        <v>51</v>
      </c>
      <c r="C79" s="11" t="s">
        <v>134</v>
      </c>
      <c r="D79" s="6" t="s">
        <v>114</v>
      </c>
      <c r="E79" s="6" t="s">
        <v>34</v>
      </c>
      <c r="F79" s="6" t="s">
        <v>114</v>
      </c>
      <c r="G79" s="6" t="s">
        <v>36</v>
      </c>
      <c r="H79" s="9">
        <v>0.5</v>
      </c>
      <c r="I79" s="9">
        <v>0.5625</v>
      </c>
      <c r="J79" s="14" t="s">
        <v>269</v>
      </c>
      <c r="K79" s="14" t="s">
        <v>270</v>
      </c>
      <c r="L79" s="14" t="s">
        <v>271</v>
      </c>
      <c r="M79" s="14" t="s">
        <v>272</v>
      </c>
      <c r="N79" s="14" t="s">
        <v>273</v>
      </c>
      <c r="O79" s="14" t="s">
        <v>312</v>
      </c>
      <c r="P79" s="14" t="s">
        <v>313</v>
      </c>
      <c r="Q79" s="8"/>
      <c r="R79" s="8"/>
      <c r="S79" s="8"/>
      <c r="T79" s="8"/>
      <c r="U79" s="14"/>
      <c r="V79" s="14"/>
      <c r="W79" s="14"/>
      <c r="X79" s="14"/>
      <c r="Y79" s="14"/>
      <c r="Z79" s="13" t="str">
        <f t="array" ref="Z79">LOOKUP(2,1/(A79:Y79&lt;&gt;""),A79:Y79)</f>
        <v>23/04/2026</v>
      </c>
      <c r="AA79" s="6" t="str">
        <f t="shared" si="1"/>
        <v>אפריל</v>
      </c>
    </row>
    <row r="80" spans="1:27" s="4" customFormat="1" ht="25.1" customHeight="1">
      <c r="A80" s="6" t="s">
        <v>130</v>
      </c>
      <c r="B80" s="6" t="s">
        <v>131</v>
      </c>
      <c r="C80" s="11" t="s">
        <v>134</v>
      </c>
      <c r="D80" s="6" t="s">
        <v>60</v>
      </c>
      <c r="E80" s="6" t="s">
        <v>34</v>
      </c>
      <c r="F80" s="6" t="s">
        <v>129</v>
      </c>
      <c r="G80" s="6" t="s">
        <v>43</v>
      </c>
      <c r="H80" s="9">
        <v>0.6875</v>
      </c>
      <c r="I80" s="9">
        <v>0.72916666666666663</v>
      </c>
      <c r="J80" s="14" t="s">
        <v>214</v>
      </c>
      <c r="K80" s="14" t="s">
        <v>215</v>
      </c>
      <c r="L80" s="14" t="s">
        <v>216</v>
      </c>
      <c r="M80" s="14" t="s">
        <v>203</v>
      </c>
      <c r="N80" s="14" t="s">
        <v>204</v>
      </c>
      <c r="O80" s="14" t="s">
        <v>205</v>
      </c>
      <c r="P80" s="14" t="s">
        <v>206</v>
      </c>
      <c r="Q80" s="14" t="s">
        <v>207</v>
      </c>
      <c r="R80" s="14" t="s">
        <v>208</v>
      </c>
      <c r="S80" s="14" t="s">
        <v>209</v>
      </c>
      <c r="T80" s="14" t="s">
        <v>210</v>
      </c>
      <c r="U80" s="14" t="s">
        <v>211</v>
      </c>
      <c r="V80" s="14" t="s">
        <v>212</v>
      </c>
      <c r="W80" s="14" t="s">
        <v>228</v>
      </c>
      <c r="X80" s="14" t="s">
        <v>229</v>
      </c>
      <c r="Y80" s="14" t="s">
        <v>230</v>
      </c>
      <c r="Z80" s="13" t="str">
        <f t="array" ref="Z80">LOOKUP(2,1/(A80:Y80&lt;&gt;""),A80:Y80)</f>
        <v>24/02/2026</v>
      </c>
      <c r="AA80" s="6" t="str">
        <f t="shared" si="1"/>
        <v>פברואר</v>
      </c>
    </row>
    <row r="81" spans="1:27" s="4" customFormat="1" ht="25.1" customHeight="1">
      <c r="A81" s="6" t="s">
        <v>130</v>
      </c>
      <c r="B81" s="6" t="s">
        <v>131</v>
      </c>
      <c r="C81" s="11" t="s">
        <v>134</v>
      </c>
      <c r="D81" s="6" t="s">
        <v>60</v>
      </c>
      <c r="E81" s="6" t="s">
        <v>34</v>
      </c>
      <c r="F81" s="6" t="s">
        <v>129</v>
      </c>
      <c r="G81" s="6" t="s">
        <v>43</v>
      </c>
      <c r="H81" s="9">
        <v>0.72916666666666663</v>
      </c>
      <c r="I81" s="9">
        <v>0.75</v>
      </c>
      <c r="J81" s="14" t="s">
        <v>214</v>
      </c>
      <c r="K81" s="14" t="s">
        <v>215</v>
      </c>
      <c r="L81" s="14" t="s">
        <v>216</v>
      </c>
      <c r="M81" s="14" t="s">
        <v>203</v>
      </c>
      <c r="N81" s="14" t="s">
        <v>204</v>
      </c>
      <c r="O81" s="14" t="s">
        <v>205</v>
      </c>
      <c r="P81" s="14" t="s">
        <v>206</v>
      </c>
      <c r="Q81" s="14" t="s">
        <v>207</v>
      </c>
      <c r="R81" s="14" t="s">
        <v>208</v>
      </c>
      <c r="S81" s="14" t="s">
        <v>209</v>
      </c>
      <c r="T81" s="14" t="s">
        <v>210</v>
      </c>
      <c r="U81" s="14" t="s">
        <v>211</v>
      </c>
      <c r="V81" s="14" t="s">
        <v>212</v>
      </c>
      <c r="W81" s="14" t="s">
        <v>228</v>
      </c>
      <c r="X81" s="14" t="s">
        <v>229</v>
      </c>
      <c r="Y81" s="14" t="s">
        <v>230</v>
      </c>
      <c r="Z81" s="13" t="str">
        <f t="array" ref="Z81">LOOKUP(2,1/(A81:Y81&lt;&gt;""),A81:Y81)</f>
        <v>24/02/2026</v>
      </c>
      <c r="AA81" s="6" t="str">
        <f t="shared" si="1"/>
        <v>פברואר</v>
      </c>
    </row>
    <row r="82" spans="1:27" s="4" customFormat="1" ht="25.1" customHeight="1">
      <c r="A82" s="6"/>
      <c r="B82" s="6" t="s">
        <v>51</v>
      </c>
      <c r="C82" s="11" t="s">
        <v>134</v>
      </c>
      <c r="D82" s="6" t="s">
        <v>52</v>
      </c>
      <c r="E82" s="6" t="s">
        <v>34</v>
      </c>
      <c r="F82" s="6" t="s">
        <v>53</v>
      </c>
      <c r="G82" s="6" t="s">
        <v>36</v>
      </c>
      <c r="H82" s="9">
        <v>0.48958333333333331</v>
      </c>
      <c r="I82" s="9">
        <v>0.55208333333333337</v>
      </c>
      <c r="J82" s="14" t="s">
        <v>309</v>
      </c>
      <c r="K82" s="14" t="s">
        <v>310</v>
      </c>
      <c r="L82" s="14" t="s">
        <v>311</v>
      </c>
      <c r="M82" s="14" t="s">
        <v>314</v>
      </c>
      <c r="N82" s="14" t="s">
        <v>315</v>
      </c>
      <c r="O82" s="14" t="s">
        <v>316</v>
      </c>
      <c r="P82" s="14" t="s">
        <v>317</v>
      </c>
      <c r="Q82" s="14" t="s">
        <v>318</v>
      </c>
      <c r="R82" s="14" t="s">
        <v>319</v>
      </c>
      <c r="S82" s="14" t="s">
        <v>320</v>
      </c>
      <c r="T82" s="14"/>
      <c r="U82" s="14"/>
      <c r="V82" s="14"/>
      <c r="W82" s="14"/>
      <c r="X82" s="14"/>
      <c r="Y82" s="14"/>
      <c r="Z82" s="13" t="str">
        <f t="array" ref="Z82">LOOKUP(2,1/(A82:Y82&lt;&gt;""),A82:Y82)</f>
        <v>24/05/2026</v>
      </c>
      <c r="AA82" s="6" t="str">
        <f t="shared" si="1"/>
        <v>מאי</v>
      </c>
    </row>
    <row r="83" spans="1:27" s="4" customFormat="1" ht="25.1" customHeight="1">
      <c r="A83" s="6"/>
      <c r="B83" s="6" t="s">
        <v>51</v>
      </c>
      <c r="C83" s="11" t="s">
        <v>134</v>
      </c>
      <c r="D83" s="6" t="s">
        <v>52</v>
      </c>
      <c r="E83" s="6" t="s">
        <v>34</v>
      </c>
      <c r="F83" s="6" t="s">
        <v>53</v>
      </c>
      <c r="G83" s="6" t="s">
        <v>36</v>
      </c>
      <c r="H83" s="9">
        <v>0.33333333333333331</v>
      </c>
      <c r="I83" s="9">
        <v>0.3923611111111111</v>
      </c>
      <c r="J83" s="14" t="s">
        <v>309</v>
      </c>
      <c r="K83" s="14" t="s">
        <v>310</v>
      </c>
      <c r="L83" s="14" t="s">
        <v>311</v>
      </c>
      <c r="M83" s="14" t="s">
        <v>314</v>
      </c>
      <c r="N83" s="14" t="s">
        <v>315</v>
      </c>
      <c r="O83" s="14" t="s">
        <v>316</v>
      </c>
      <c r="P83" s="14" t="s">
        <v>317</v>
      </c>
      <c r="Q83" s="14" t="s">
        <v>318</v>
      </c>
      <c r="R83" s="14" t="s">
        <v>319</v>
      </c>
      <c r="S83" s="14" t="s">
        <v>320</v>
      </c>
      <c r="T83" s="14"/>
      <c r="U83" s="14"/>
      <c r="V83" s="14"/>
      <c r="W83" s="14"/>
      <c r="X83" s="14"/>
      <c r="Y83" s="14"/>
      <c r="Z83" s="13" t="str">
        <f t="array" ref="Z83">LOOKUP(2,1/(A83:Y83&lt;&gt;""),A83:Y83)</f>
        <v>24/05/2026</v>
      </c>
      <c r="AA83" s="6" t="str">
        <f t="shared" si="1"/>
        <v>מאי</v>
      </c>
    </row>
    <row r="84" spans="1:27" s="4" customFormat="1" ht="25.1" customHeight="1">
      <c r="A84" s="6" t="s">
        <v>67</v>
      </c>
      <c r="B84" s="6" t="s">
        <v>68</v>
      </c>
      <c r="C84" s="11" t="s">
        <v>134</v>
      </c>
      <c r="D84" s="6" t="s">
        <v>99</v>
      </c>
      <c r="E84" s="6" t="s">
        <v>64</v>
      </c>
      <c r="F84" s="6" t="s">
        <v>100</v>
      </c>
      <c r="G84" s="6" t="s">
        <v>40</v>
      </c>
      <c r="H84" s="9">
        <v>0.54166666666666663</v>
      </c>
      <c r="I84" s="9">
        <v>0.60416666666666663</v>
      </c>
      <c r="J84" s="14" t="s">
        <v>237</v>
      </c>
      <c r="K84" s="14" t="s">
        <v>238</v>
      </c>
      <c r="L84" s="14" t="s">
        <v>239</v>
      </c>
      <c r="M84" s="14" t="s">
        <v>240</v>
      </c>
      <c r="N84" s="14" t="s">
        <v>241</v>
      </c>
      <c r="O84" s="14" t="s">
        <v>242</v>
      </c>
      <c r="P84" s="14" t="s">
        <v>243</v>
      </c>
      <c r="Q84" s="14" t="s">
        <v>293</v>
      </c>
      <c r="R84" s="14" t="s">
        <v>294</v>
      </c>
      <c r="S84" s="14" t="s">
        <v>295</v>
      </c>
      <c r="T84" s="14" t="s">
        <v>296</v>
      </c>
      <c r="U84" s="14" t="s">
        <v>297</v>
      </c>
      <c r="V84" s="14" t="s">
        <v>298</v>
      </c>
      <c r="W84" s="14" t="s">
        <v>321</v>
      </c>
      <c r="X84" s="14"/>
      <c r="Y84" s="14"/>
      <c r="Z84" s="13" t="str">
        <f t="array" ref="Z84">LOOKUP(2,1/(A84:Y84&lt;&gt;""),A84:Y84)</f>
        <v>24/06/2026</v>
      </c>
      <c r="AA84" s="6" t="str">
        <f t="shared" si="1"/>
        <v>יוני</v>
      </c>
    </row>
    <row r="85" spans="1:27" s="4" customFormat="1" ht="25.1" customHeight="1">
      <c r="A85" s="6" t="s">
        <v>62</v>
      </c>
      <c r="B85" s="6" t="s">
        <v>32</v>
      </c>
      <c r="C85" s="11" t="s">
        <v>134</v>
      </c>
      <c r="D85" s="6" t="s">
        <v>71</v>
      </c>
      <c r="E85" s="6" t="s">
        <v>64</v>
      </c>
      <c r="F85" s="6" t="s">
        <v>72</v>
      </c>
      <c r="G85" s="6" t="s">
        <v>36</v>
      </c>
      <c r="H85" s="9">
        <v>0.4375</v>
      </c>
      <c r="I85" s="9">
        <v>0.5</v>
      </c>
      <c r="J85" s="14" t="s">
        <v>257</v>
      </c>
      <c r="K85" s="14" t="s">
        <v>258</v>
      </c>
      <c r="L85" s="14" t="s">
        <v>259</v>
      </c>
      <c r="M85" s="14" t="s">
        <v>274</v>
      </c>
      <c r="N85" s="14" t="s">
        <v>264</v>
      </c>
      <c r="O85" s="14" t="s">
        <v>265</v>
      </c>
      <c r="P85" s="14" t="s">
        <v>266</v>
      </c>
      <c r="Q85" s="14" t="s">
        <v>267</v>
      </c>
      <c r="R85" s="14" t="s">
        <v>268</v>
      </c>
      <c r="S85" s="14" t="s">
        <v>269</v>
      </c>
      <c r="T85" s="14"/>
      <c r="U85" s="14"/>
      <c r="V85" s="14"/>
      <c r="W85" s="14"/>
      <c r="X85" s="14"/>
      <c r="Y85" s="14"/>
      <c r="Z85" s="13" t="str">
        <f t="array" ref="Z85">LOOKUP(2,1/(A85:Y85&lt;&gt;""),A85:Y85)</f>
        <v>26/02/2026</v>
      </c>
      <c r="AA85" s="6" t="str">
        <f t="shared" si="1"/>
        <v>פברואר</v>
      </c>
    </row>
    <row r="86" spans="1:27" s="4" customFormat="1" ht="25.1" customHeight="1">
      <c r="A86" s="6" t="s">
        <v>79</v>
      </c>
      <c r="B86" s="6" t="s">
        <v>32</v>
      </c>
      <c r="C86" s="11" t="s">
        <v>134</v>
      </c>
      <c r="D86" s="6" t="s">
        <v>83</v>
      </c>
      <c r="E86" s="6" t="s">
        <v>64</v>
      </c>
      <c r="F86" s="6" t="s">
        <v>84</v>
      </c>
      <c r="G86" s="6" t="s">
        <v>66</v>
      </c>
      <c r="H86" s="9">
        <v>0.4236111111111111</v>
      </c>
      <c r="I86" s="9">
        <v>0.49305555555555558</v>
      </c>
      <c r="J86" s="14" t="s">
        <v>173</v>
      </c>
      <c r="K86" s="14" t="s">
        <v>174</v>
      </c>
      <c r="L86" s="14" t="s">
        <v>175</v>
      </c>
      <c r="M86" s="14" t="s">
        <v>176</v>
      </c>
      <c r="N86" s="14" t="s">
        <v>309</v>
      </c>
      <c r="O86" s="14" t="s">
        <v>310</v>
      </c>
      <c r="P86" s="14" t="s">
        <v>311</v>
      </c>
      <c r="Q86" s="14" t="s">
        <v>314</v>
      </c>
      <c r="R86" s="14" t="s">
        <v>315</v>
      </c>
      <c r="S86" s="14" t="s">
        <v>316</v>
      </c>
      <c r="T86" s="8"/>
      <c r="U86" s="14"/>
      <c r="V86" s="14"/>
      <c r="W86" s="14"/>
      <c r="X86" s="14"/>
      <c r="Y86" s="14"/>
      <c r="Z86" s="13" t="str">
        <f t="array" ref="Z86">LOOKUP(2,1/(A86:Y86&lt;&gt;""),A86:Y86)</f>
        <v>26/04/2026</v>
      </c>
      <c r="AA86" s="6" t="str">
        <f t="shared" si="1"/>
        <v>אפריל</v>
      </c>
    </row>
    <row r="87" spans="1:27" s="4" customFormat="1" ht="25.1" customHeight="1">
      <c r="A87" s="6" t="s">
        <v>79</v>
      </c>
      <c r="B87" s="6" t="s">
        <v>32</v>
      </c>
      <c r="C87" s="11" t="s">
        <v>134</v>
      </c>
      <c r="D87" s="6" t="s">
        <v>83</v>
      </c>
      <c r="E87" s="6" t="s">
        <v>64</v>
      </c>
      <c r="F87" s="6" t="s">
        <v>85</v>
      </c>
      <c r="G87" s="6" t="s">
        <v>66</v>
      </c>
      <c r="H87" s="9">
        <v>0.57291666666666663</v>
      </c>
      <c r="I87" s="9">
        <v>0.63541666666666663</v>
      </c>
      <c r="J87" s="14" t="s">
        <v>173</v>
      </c>
      <c r="K87" s="14" t="s">
        <v>174</v>
      </c>
      <c r="L87" s="14" t="s">
        <v>175</v>
      </c>
      <c r="M87" s="14" t="s">
        <v>176</v>
      </c>
      <c r="N87" s="14" t="s">
        <v>309</v>
      </c>
      <c r="O87" s="14" t="s">
        <v>310</v>
      </c>
      <c r="P87" s="14" t="s">
        <v>311</v>
      </c>
      <c r="Q87" s="14" t="s">
        <v>314</v>
      </c>
      <c r="R87" s="14" t="s">
        <v>315</v>
      </c>
      <c r="S87" s="14" t="s">
        <v>316</v>
      </c>
      <c r="T87" s="8"/>
      <c r="U87" s="14"/>
      <c r="V87" s="14"/>
      <c r="W87" s="14"/>
      <c r="X87" s="14"/>
      <c r="Y87" s="14"/>
      <c r="Z87" s="13" t="str">
        <f t="array" ref="Z87">LOOKUP(2,1/(A87:Y87&lt;&gt;""),A87:Y87)</f>
        <v>26/04/2026</v>
      </c>
      <c r="AA87" s="6" t="str">
        <f t="shared" si="1"/>
        <v>אפריל</v>
      </c>
    </row>
    <row r="88" spans="1:27" s="4" customFormat="1" ht="25.1" customHeight="1">
      <c r="A88" s="6"/>
      <c r="B88" s="6" t="s">
        <v>41</v>
      </c>
      <c r="C88" s="11" t="s">
        <v>134</v>
      </c>
      <c r="D88" s="6" t="s">
        <v>42</v>
      </c>
      <c r="E88" s="6" t="s">
        <v>34</v>
      </c>
      <c r="F88" s="6" t="s">
        <v>44</v>
      </c>
      <c r="G88" s="6" t="s">
        <v>43</v>
      </c>
      <c r="H88" s="9">
        <v>0.35416666666666669</v>
      </c>
      <c r="I88" s="9">
        <v>0.41666666666666669</v>
      </c>
      <c r="J88" s="14" t="s">
        <v>210</v>
      </c>
      <c r="K88" s="14" t="s">
        <v>211</v>
      </c>
      <c r="L88" s="14" t="s">
        <v>212</v>
      </c>
      <c r="M88" s="14" t="s">
        <v>228</v>
      </c>
      <c r="N88" s="14" t="s">
        <v>229</v>
      </c>
      <c r="O88" s="14" t="s">
        <v>230</v>
      </c>
      <c r="P88" s="14" t="s">
        <v>231</v>
      </c>
      <c r="Q88" s="14" t="s">
        <v>232</v>
      </c>
      <c r="R88" s="14" t="s">
        <v>233</v>
      </c>
      <c r="S88" s="14" t="s">
        <v>234</v>
      </c>
      <c r="T88" s="14"/>
      <c r="U88" s="14"/>
      <c r="V88" s="14"/>
      <c r="W88" s="14"/>
      <c r="X88" s="14"/>
      <c r="Y88" s="14"/>
      <c r="Z88" s="13" t="str">
        <f t="array" ref="Z88">LOOKUP(2,1/(A88:Y88&lt;&gt;""),A88:Y88)</f>
        <v>28/04/2026</v>
      </c>
      <c r="AA88" s="6" t="str">
        <f t="shared" si="1"/>
        <v>אפריל</v>
      </c>
    </row>
    <row r="89" spans="1:27" s="4" customFormat="1" ht="25.1" customHeight="1">
      <c r="A89" s="6" t="s">
        <v>31</v>
      </c>
      <c r="B89" s="6" t="s">
        <v>51</v>
      </c>
      <c r="C89" s="11" t="s">
        <v>134</v>
      </c>
      <c r="D89" s="6" t="s">
        <v>118</v>
      </c>
      <c r="E89" s="6" t="s">
        <v>34</v>
      </c>
      <c r="F89" s="6" t="s">
        <v>118</v>
      </c>
      <c r="G89" s="6" t="s">
        <v>40</v>
      </c>
      <c r="H89" s="9">
        <v>0.39583333333333331</v>
      </c>
      <c r="I89" s="9">
        <v>0.45833333333333331</v>
      </c>
      <c r="J89" s="14" t="s">
        <v>236</v>
      </c>
      <c r="K89" s="14" t="s">
        <v>237</v>
      </c>
      <c r="L89" s="14" t="s">
        <v>238</v>
      </c>
      <c r="M89" s="14" t="s">
        <v>239</v>
      </c>
      <c r="N89" s="14" t="s">
        <v>240</v>
      </c>
      <c r="O89" s="14" t="s">
        <v>241</v>
      </c>
      <c r="P89" s="14" t="s">
        <v>242</v>
      </c>
      <c r="Q89" s="8"/>
      <c r="R89" s="8"/>
      <c r="S89" s="8"/>
      <c r="T89" s="14"/>
      <c r="U89" s="14"/>
      <c r="V89" s="14"/>
      <c r="W89" s="14"/>
      <c r="X89" s="14"/>
      <c r="Y89" s="14"/>
      <c r="Z89" s="13" t="str">
        <f t="array" ref="Z89">LOOKUP(2,1/(A89:Y89&lt;&gt;""),A89:Y89)</f>
        <v>29/04/2026</v>
      </c>
      <c r="AA89" s="6" t="str">
        <f t="shared" si="1"/>
        <v>אפריל</v>
      </c>
    </row>
    <row r="90" spans="1:27" s="4" customFormat="1" ht="25.1" customHeight="1">
      <c r="A90" s="6" t="s">
        <v>31</v>
      </c>
      <c r="B90" s="6" t="s">
        <v>51</v>
      </c>
      <c r="C90" s="11" t="s">
        <v>134</v>
      </c>
      <c r="D90" s="6" t="s">
        <v>119</v>
      </c>
      <c r="E90" s="6" t="s">
        <v>34</v>
      </c>
      <c r="F90" s="6" t="s">
        <v>119</v>
      </c>
      <c r="G90" s="6" t="s">
        <v>40</v>
      </c>
      <c r="H90" s="9">
        <v>0.48958333333333331</v>
      </c>
      <c r="I90" s="9">
        <v>0.52083333333333337</v>
      </c>
      <c r="J90" s="14" t="s">
        <v>236</v>
      </c>
      <c r="K90" s="14" t="s">
        <v>237</v>
      </c>
      <c r="L90" s="14" t="s">
        <v>238</v>
      </c>
      <c r="M90" s="14" t="s">
        <v>239</v>
      </c>
      <c r="N90" s="14" t="s">
        <v>240</v>
      </c>
      <c r="O90" s="14" t="s">
        <v>241</v>
      </c>
      <c r="P90" s="14" t="s">
        <v>242</v>
      </c>
      <c r="Q90" s="8"/>
      <c r="R90" s="8"/>
      <c r="S90" s="14"/>
      <c r="T90" s="14"/>
      <c r="U90" s="14"/>
      <c r="V90" s="14"/>
      <c r="W90" s="14"/>
      <c r="X90" s="14"/>
      <c r="Y90" s="14"/>
      <c r="Z90" s="13" t="str">
        <f t="array" ref="Z90">LOOKUP(2,1/(A90:Y90&lt;&gt;""),A90:Y90)</f>
        <v>29/04/2026</v>
      </c>
      <c r="AA90" s="6" t="str">
        <f t="shared" si="1"/>
        <v>אפריל</v>
      </c>
    </row>
    <row r="91" spans="1:27" ht="25.1" customHeight="1">
      <c r="A91" s="10"/>
      <c r="B91" s="6" t="s">
        <v>24</v>
      </c>
      <c r="C91" s="7" t="s">
        <v>133</v>
      </c>
      <c r="D91" s="10"/>
      <c r="E91" s="10"/>
      <c r="F91" s="10"/>
      <c r="G91" s="10"/>
      <c r="H91" s="5"/>
      <c r="I91" s="5"/>
      <c r="J91" s="14">
        <v>46084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3"/>
      <c r="AA91" s="6"/>
    </row>
    <row r="92" spans="1:27" ht="25.1" customHeight="1">
      <c r="A92" s="10"/>
      <c r="B92" s="6" t="s">
        <v>24</v>
      </c>
      <c r="C92" s="7" t="s">
        <v>133</v>
      </c>
      <c r="D92" s="10"/>
      <c r="E92" s="10"/>
      <c r="F92" s="10"/>
      <c r="G92" s="10"/>
      <c r="H92" s="5"/>
      <c r="I92" s="5"/>
      <c r="J92" s="14">
        <v>46085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3"/>
      <c r="AA92" s="6"/>
    </row>
    <row r="93" spans="1:27" ht="25.1" customHeight="1">
      <c r="A93" s="10"/>
      <c r="B93" s="6" t="s">
        <v>25</v>
      </c>
      <c r="C93" s="7" t="s">
        <v>133</v>
      </c>
      <c r="D93" s="10"/>
      <c r="E93" s="10"/>
      <c r="F93" s="10"/>
      <c r="G93" s="10"/>
      <c r="H93" s="5"/>
      <c r="I93" s="5"/>
      <c r="J93" s="14">
        <v>46105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3"/>
      <c r="AA93" s="6"/>
    </row>
    <row r="94" spans="1:27" ht="25.1" customHeight="1">
      <c r="A94" s="10"/>
      <c r="B94" s="6" t="s">
        <v>25</v>
      </c>
      <c r="C94" s="7" t="s">
        <v>133</v>
      </c>
      <c r="D94" s="10"/>
      <c r="E94" s="10"/>
      <c r="F94" s="10"/>
      <c r="G94" s="10"/>
      <c r="H94" s="5"/>
      <c r="I94" s="5"/>
      <c r="J94" s="14">
        <v>46106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3"/>
      <c r="AA94" s="6"/>
    </row>
    <row r="95" spans="1:27" ht="25.1" customHeight="1">
      <c r="A95" s="10"/>
      <c r="B95" s="6" t="s">
        <v>25</v>
      </c>
      <c r="C95" s="7" t="s">
        <v>133</v>
      </c>
      <c r="D95" s="10"/>
      <c r="E95" s="10"/>
      <c r="F95" s="10"/>
      <c r="G95" s="10"/>
      <c r="H95" s="5"/>
      <c r="I95" s="5"/>
      <c r="J95" s="14">
        <v>46107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3"/>
      <c r="AA95" s="6"/>
    </row>
    <row r="96" spans="1:27" ht="25.1" customHeight="1">
      <c r="A96" s="10"/>
      <c r="B96" s="6" t="s">
        <v>25</v>
      </c>
      <c r="C96" s="7" t="s">
        <v>133</v>
      </c>
      <c r="D96" s="10"/>
      <c r="E96" s="10"/>
      <c r="F96" s="10"/>
      <c r="G96" s="10"/>
      <c r="H96" s="5"/>
      <c r="I96" s="5"/>
      <c r="J96" s="14">
        <v>46108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3"/>
      <c r="AA96" s="6"/>
    </row>
    <row r="97" spans="1:27" ht="25.1" customHeight="1">
      <c r="A97" s="10"/>
      <c r="B97" s="6" t="s">
        <v>25</v>
      </c>
      <c r="C97" s="7" t="s">
        <v>133</v>
      </c>
      <c r="D97" s="10"/>
      <c r="E97" s="10"/>
      <c r="F97" s="10"/>
      <c r="G97" s="10"/>
      <c r="H97" s="5"/>
      <c r="I97" s="5"/>
      <c r="J97" s="14">
        <v>46109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3"/>
      <c r="AA97" s="6"/>
    </row>
    <row r="98" spans="1:27" ht="25.1" customHeight="1">
      <c r="A98" s="10"/>
      <c r="B98" s="6" t="s">
        <v>25</v>
      </c>
      <c r="C98" s="7" t="s">
        <v>133</v>
      </c>
      <c r="D98" s="10"/>
      <c r="E98" s="10"/>
      <c r="F98" s="10"/>
      <c r="G98" s="10"/>
      <c r="H98" s="5"/>
      <c r="I98" s="5"/>
      <c r="J98" s="14">
        <v>46110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3"/>
      <c r="AA98" s="6"/>
    </row>
    <row r="99" spans="1:27" ht="25.1" customHeight="1">
      <c r="A99" s="10"/>
      <c r="B99" s="6" t="s">
        <v>25</v>
      </c>
      <c r="C99" s="7" t="s">
        <v>133</v>
      </c>
      <c r="D99" s="10"/>
      <c r="E99" s="10"/>
      <c r="F99" s="10"/>
      <c r="G99" s="10"/>
      <c r="H99" s="5"/>
      <c r="I99" s="5"/>
      <c r="J99" s="14">
        <v>46111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3"/>
      <c r="AA99" s="6"/>
    </row>
    <row r="100" spans="1:27" ht="25.1" customHeight="1">
      <c r="A100" s="10"/>
      <c r="B100" s="6" t="s">
        <v>25</v>
      </c>
      <c r="C100" s="7" t="s">
        <v>133</v>
      </c>
      <c r="D100" s="10"/>
      <c r="E100" s="10"/>
      <c r="F100" s="10"/>
      <c r="G100" s="10"/>
      <c r="H100" s="5"/>
      <c r="I100" s="5"/>
      <c r="J100" s="14">
        <v>46112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3"/>
      <c r="AA100" s="6"/>
    </row>
    <row r="101" spans="1:27" ht="25.1" customHeight="1">
      <c r="A101" s="10"/>
      <c r="B101" s="6" t="s">
        <v>25</v>
      </c>
      <c r="C101" s="7" t="s">
        <v>133</v>
      </c>
      <c r="D101" s="10"/>
      <c r="E101" s="10"/>
      <c r="F101" s="10"/>
      <c r="G101" s="10"/>
      <c r="H101" s="5"/>
      <c r="I101" s="5"/>
      <c r="J101" s="14">
        <v>46113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3"/>
      <c r="AA101" s="6"/>
    </row>
    <row r="102" spans="1:27" ht="25.1" customHeight="1">
      <c r="A102" s="10"/>
      <c r="B102" s="6" t="s">
        <v>25</v>
      </c>
      <c r="C102" s="7" t="s">
        <v>133</v>
      </c>
      <c r="D102" s="10"/>
      <c r="E102" s="10"/>
      <c r="F102" s="10"/>
      <c r="G102" s="10"/>
      <c r="H102" s="5"/>
      <c r="I102" s="5"/>
      <c r="J102" s="14">
        <v>46114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3"/>
      <c r="AA102" s="6"/>
    </row>
    <row r="103" spans="1:27" ht="25.1" customHeight="1">
      <c r="A103" s="10"/>
      <c r="B103" s="6" t="s">
        <v>25</v>
      </c>
      <c r="C103" s="7" t="s">
        <v>133</v>
      </c>
      <c r="D103" s="10"/>
      <c r="E103" s="10"/>
      <c r="F103" s="10"/>
      <c r="G103" s="10"/>
      <c r="H103" s="5"/>
      <c r="I103" s="5"/>
      <c r="J103" s="14">
        <v>46115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3"/>
      <c r="AA103" s="6"/>
    </row>
    <row r="104" spans="1:27" ht="25.1" customHeight="1">
      <c r="A104" s="10"/>
      <c r="B104" s="6" t="s">
        <v>25</v>
      </c>
      <c r="C104" s="7" t="s">
        <v>133</v>
      </c>
      <c r="D104" s="10"/>
      <c r="E104" s="10"/>
      <c r="F104" s="10"/>
      <c r="G104" s="10"/>
      <c r="H104" s="5"/>
      <c r="I104" s="5"/>
      <c r="J104" s="14">
        <v>46116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3"/>
      <c r="AA104" s="6"/>
    </row>
    <row r="105" spans="1:27" ht="25.1" customHeight="1">
      <c r="A105" s="10"/>
      <c r="B105" s="6" t="s">
        <v>25</v>
      </c>
      <c r="C105" s="7" t="s">
        <v>133</v>
      </c>
      <c r="D105" s="10"/>
      <c r="E105" s="10"/>
      <c r="F105" s="10"/>
      <c r="G105" s="10"/>
      <c r="H105" s="5"/>
      <c r="I105" s="5"/>
      <c r="J105" s="14">
        <v>46117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3"/>
      <c r="AA105" s="6"/>
    </row>
    <row r="106" spans="1:27" ht="25.1" customHeight="1">
      <c r="A106" s="10"/>
      <c r="B106" s="6" t="s">
        <v>25</v>
      </c>
      <c r="C106" s="7" t="s">
        <v>133</v>
      </c>
      <c r="D106" s="10"/>
      <c r="E106" s="10"/>
      <c r="F106" s="10"/>
      <c r="G106" s="10"/>
      <c r="H106" s="5"/>
      <c r="I106" s="5"/>
      <c r="J106" s="14">
        <v>46118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3"/>
      <c r="AA106" s="6"/>
    </row>
    <row r="107" spans="1:27" ht="25.1" customHeight="1">
      <c r="A107" s="10"/>
      <c r="B107" s="6" t="s">
        <v>25</v>
      </c>
      <c r="C107" s="7" t="s">
        <v>133</v>
      </c>
      <c r="D107" s="10"/>
      <c r="E107" s="10"/>
      <c r="F107" s="10"/>
      <c r="G107" s="10"/>
      <c r="H107" s="5"/>
      <c r="I107" s="5"/>
      <c r="J107" s="14">
        <v>46119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3"/>
      <c r="AA107" s="6"/>
    </row>
    <row r="108" spans="1:27" ht="25.1" customHeight="1">
      <c r="A108" s="10"/>
      <c r="B108" s="6" t="s">
        <v>25</v>
      </c>
      <c r="C108" s="7" t="s">
        <v>133</v>
      </c>
      <c r="D108" s="10"/>
      <c r="E108" s="10"/>
      <c r="F108" s="10"/>
      <c r="G108" s="10"/>
      <c r="H108" s="5"/>
      <c r="I108" s="5"/>
      <c r="J108" s="14">
        <v>46120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3"/>
      <c r="AA108" s="6"/>
    </row>
    <row r="109" spans="1:27" ht="25.1" customHeight="1">
      <c r="A109" s="10"/>
      <c r="B109" s="6" t="s">
        <v>26</v>
      </c>
      <c r="C109" s="7" t="s">
        <v>133</v>
      </c>
      <c r="D109" s="10"/>
      <c r="E109" s="10"/>
      <c r="F109" s="10"/>
      <c r="G109" s="10"/>
      <c r="H109" s="5"/>
      <c r="I109" s="5"/>
      <c r="J109" s="14">
        <v>46132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3"/>
      <c r="AA109" s="6"/>
    </row>
    <row r="110" spans="1:27" ht="25.1" customHeight="1">
      <c r="A110" s="10"/>
      <c r="B110" s="6" t="s">
        <v>27</v>
      </c>
      <c r="C110" s="7" t="s">
        <v>133</v>
      </c>
      <c r="D110" s="10"/>
      <c r="E110" s="10"/>
      <c r="F110" s="10"/>
      <c r="G110" s="10"/>
      <c r="H110" s="5"/>
      <c r="I110" s="5"/>
      <c r="J110" s="14">
        <v>46133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3"/>
      <c r="AA110" s="6"/>
    </row>
    <row r="111" spans="1:27" ht="25.1" customHeight="1">
      <c r="A111" s="10"/>
      <c r="B111" s="6" t="s">
        <v>28</v>
      </c>
      <c r="C111" s="7" t="s">
        <v>133</v>
      </c>
      <c r="D111" s="10"/>
      <c r="E111" s="10"/>
      <c r="F111" s="10"/>
      <c r="G111" s="10"/>
      <c r="H111" s="5"/>
      <c r="I111" s="5"/>
      <c r="J111" s="14">
        <v>46134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3"/>
      <c r="AA111" s="6"/>
    </row>
    <row r="112" spans="1:27" ht="25.1" customHeight="1">
      <c r="A112" s="10"/>
      <c r="B112" s="6" t="s">
        <v>29</v>
      </c>
      <c r="C112" s="7" t="s">
        <v>133</v>
      </c>
      <c r="D112" s="10"/>
      <c r="E112" s="10"/>
      <c r="F112" s="10"/>
      <c r="G112" s="10"/>
      <c r="H112" s="5"/>
      <c r="I112" s="5"/>
      <c r="J112" s="14">
        <v>46150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3"/>
      <c r="AA112" s="6"/>
    </row>
    <row r="113" spans="1:27" ht="25.1" customHeight="1">
      <c r="A113" s="10"/>
      <c r="B113" s="6" t="s">
        <v>30</v>
      </c>
      <c r="C113" s="7" t="s">
        <v>133</v>
      </c>
      <c r="D113" s="10"/>
      <c r="E113" s="10"/>
      <c r="F113" s="10"/>
      <c r="G113" s="10"/>
      <c r="H113" s="5"/>
      <c r="I113" s="5"/>
      <c r="J113" s="14">
        <v>46163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3"/>
      <c r="AA113" s="6"/>
    </row>
    <row r="114" spans="1:27" ht="25.1" customHeight="1">
      <c r="A114" s="10"/>
      <c r="B114" s="6" t="s">
        <v>30</v>
      </c>
      <c r="C114" s="7" t="s">
        <v>133</v>
      </c>
      <c r="D114" s="10"/>
      <c r="E114" s="10"/>
      <c r="F114" s="10"/>
      <c r="G114" s="10"/>
      <c r="H114" s="5"/>
      <c r="I114" s="5"/>
      <c r="J114" s="14">
        <v>46164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3"/>
      <c r="AA114" s="6"/>
    </row>
  </sheetData>
  <sortState xmlns:xlrd2="http://schemas.microsoft.com/office/spreadsheetml/2017/richdata2" ref="A2:AA131">
    <sortCondition ref="AA2:AA131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עידן נחום</cp:lastModifiedBy>
  <dcterms:created xsi:type="dcterms:W3CDTF">2025-10-29T22:38:19Z</dcterms:created>
  <dcterms:modified xsi:type="dcterms:W3CDTF">2026-02-09T11:06:24Z</dcterms:modified>
</cp:coreProperties>
</file>